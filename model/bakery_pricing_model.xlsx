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commercial-pricing-model\model\"/>
    </mc:Choice>
  </mc:AlternateContent>
  <xr:revisionPtr revIDLastSave="0" documentId="13_ncr:1_{86176544-75CB-46DF-8CBE-B4A4BAB5FBE2}" xr6:coauthVersionLast="47" xr6:coauthVersionMax="47" xr10:uidLastSave="{00000000-0000-0000-0000-000000000000}"/>
  <bookViews>
    <workbookView xWindow="1098" yWindow="1098" windowWidth="17280" windowHeight="10524" firstSheet="1" activeTab="2" xr2:uid="{BCDA4890-174A-4902-A106-8E93404CF9C4}"/>
  </bookViews>
  <sheets>
    <sheet name="Inputs" sheetId="1" r:id="rId1"/>
    <sheet name="Calculations" sheetId="3" r:id="rId2"/>
    <sheet name="Scenarios" sheetId="5" r:id="rId3"/>
    <sheet name="CSO_Prices" sheetId="2" r:id="rId4"/>
    <sheet name="CPI_Index" sheetId="4" r:id="rId5"/>
  </sheets>
  <definedNames>
    <definedName name="ExternalData_1" localSheetId="4" hidden="1">'CPI_Index'!$A$1:$D$178</definedName>
    <definedName name="ExternalData_1" localSheetId="3" hidden="1">'CSO_Prices'!$A$1:$F$178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5" l="1"/>
  <c r="C16" i="5"/>
  <c r="D16" i="5"/>
  <c r="E16" i="5"/>
  <c r="F16" i="5"/>
  <c r="G16" i="5"/>
  <c r="H16" i="5"/>
  <c r="C17" i="5"/>
  <c r="D17" i="5"/>
  <c r="E17" i="5"/>
  <c r="F17" i="5"/>
  <c r="G17" i="5"/>
  <c r="H17" i="5"/>
  <c r="C18" i="5"/>
  <c r="D18" i="5"/>
  <c r="E18" i="5"/>
  <c r="F18" i="5"/>
  <c r="G18" i="5"/>
  <c r="H18" i="5"/>
  <c r="C19" i="5"/>
  <c r="D19" i="5"/>
  <c r="E19" i="5"/>
  <c r="F19" i="5"/>
  <c r="G19" i="5"/>
  <c r="H19" i="5"/>
  <c r="C20" i="5"/>
  <c r="D20" i="5"/>
  <c r="E20" i="5"/>
  <c r="F20" i="5"/>
  <c r="G20" i="5"/>
  <c r="H20" i="5"/>
  <c r="B17" i="5"/>
  <c r="B18" i="5"/>
  <c r="B19" i="5"/>
  <c r="B20" i="5"/>
  <c r="B16" i="5"/>
  <c r="C9" i="5"/>
  <c r="D9" i="5"/>
  <c r="E9" i="5"/>
  <c r="F9" i="5"/>
  <c r="G9" i="5"/>
  <c r="H9" i="5"/>
  <c r="C10" i="5"/>
  <c r="D10" i="5"/>
  <c r="E10" i="5"/>
  <c r="F10" i="5"/>
  <c r="G10" i="5"/>
  <c r="H10" i="5"/>
  <c r="C11" i="5"/>
  <c r="D11" i="5"/>
  <c r="E11" i="5"/>
  <c r="F11" i="5"/>
  <c r="G11" i="5"/>
  <c r="H11" i="5"/>
  <c r="C12" i="5"/>
  <c r="D12" i="5"/>
  <c r="E12" i="5"/>
  <c r="F12" i="5"/>
  <c r="G12" i="5"/>
  <c r="H12" i="5"/>
  <c r="C13" i="5"/>
  <c r="D13" i="5"/>
  <c r="E13" i="5"/>
  <c r="F13" i="5"/>
  <c r="G13" i="5"/>
  <c r="H13" i="5"/>
  <c r="D6" i="5"/>
  <c r="E6" i="5"/>
  <c r="F6" i="5"/>
  <c r="G6" i="5"/>
  <c r="H6" i="5"/>
  <c r="C6" i="5"/>
  <c r="D5" i="5"/>
  <c r="E5" i="5"/>
  <c r="F5" i="5"/>
  <c r="G5" i="5"/>
  <c r="H5" i="5"/>
  <c r="C5" i="5"/>
  <c r="B24" i="3"/>
  <c r="C33" i="3"/>
  <c r="C20" i="3"/>
  <c r="B37" i="1"/>
  <c r="B36" i="1"/>
  <c r="B35" i="1"/>
  <c r="B34" i="1"/>
  <c r="C30" i="3"/>
  <c r="B33" i="3"/>
  <c r="B30" i="3"/>
  <c r="E30" i="3" s="1"/>
  <c r="B20" i="3"/>
  <c r="E20" i="3" s="1"/>
  <c r="C16" i="3"/>
  <c r="B16" i="3"/>
  <c r="E16" i="3" s="1"/>
  <c r="B44" i="1"/>
  <c r="B45" i="1" s="1"/>
  <c r="B24" i="1"/>
  <c r="B25" i="1" s="1"/>
  <c r="D16" i="3" l="1"/>
  <c r="D30" i="3"/>
  <c r="D33" i="3"/>
  <c r="B30" i="1"/>
  <c r="C3" i="3" s="1"/>
  <c r="C9" i="3" s="1"/>
  <c r="B3" i="3"/>
  <c r="B8" i="3" s="1"/>
  <c r="D20" i="3"/>
  <c r="E33" i="3"/>
  <c r="C5" i="3"/>
  <c r="C24" i="3" s="1"/>
  <c r="C25" i="3" s="1"/>
  <c r="B6" i="3"/>
  <c r="B7" i="3"/>
  <c r="B9" i="3"/>
  <c r="B5" i="3"/>
  <c r="C6" i="3"/>
  <c r="C12" i="3" s="1"/>
  <c r="C7" i="3"/>
  <c r="C13" i="3" s="1"/>
  <c r="C8" i="3"/>
  <c r="C14" i="3" l="1"/>
  <c r="E5" i="3"/>
  <c r="D5" i="3"/>
  <c r="E9" i="3"/>
  <c r="D9" i="3"/>
  <c r="B15" i="3"/>
  <c r="B13" i="3"/>
  <c r="E7" i="3"/>
  <c r="D7" i="3"/>
  <c r="E6" i="3"/>
  <c r="B12" i="3"/>
  <c r="D6" i="3"/>
  <c r="C31" i="3"/>
  <c r="B14" i="3"/>
  <c r="E8" i="3"/>
  <c r="D8" i="3"/>
  <c r="C15" i="3"/>
  <c r="C17" i="3" s="1"/>
  <c r="C21" i="3" s="1"/>
  <c r="C26" i="3" s="1"/>
  <c r="C32" i="3" l="1"/>
  <c r="C34" i="3" s="1"/>
  <c r="C35" i="3" s="1"/>
  <c r="C27" i="3"/>
  <c r="C36" i="3"/>
  <c r="E14" i="3"/>
  <c r="D14" i="3"/>
  <c r="B17" i="3"/>
  <c r="E12" i="3"/>
  <c r="D12" i="3"/>
  <c r="D13" i="3"/>
  <c r="E13" i="3"/>
  <c r="D15" i="3"/>
  <c r="E15" i="3"/>
  <c r="B25" i="3"/>
  <c r="D24" i="3"/>
  <c r="E24" i="3"/>
  <c r="E25" i="3" l="1"/>
  <c r="D25" i="3"/>
  <c r="B31" i="3"/>
  <c r="D17" i="3"/>
  <c r="B21" i="3"/>
  <c r="E17" i="3"/>
  <c r="D21" i="3" l="1"/>
  <c r="E21" i="3"/>
  <c r="E31" i="3"/>
  <c r="D31" i="3"/>
  <c r="B26" i="3"/>
  <c r="B27" i="3" l="1"/>
  <c r="D27" i="3" s="1"/>
  <c r="D26" i="3"/>
  <c r="E26" i="3"/>
  <c r="B32" i="3"/>
  <c r="B36" i="3"/>
  <c r="D36" i="3" l="1"/>
  <c r="E36" i="3"/>
  <c r="E32" i="3"/>
  <c r="B34" i="3"/>
  <c r="D32" i="3"/>
  <c r="E34" i="3" l="1"/>
  <c r="B35" i="3"/>
  <c r="D35" i="3" s="1"/>
  <c r="B41" i="1" s="1"/>
  <c r="D3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BE684-E3F7-4985-AE93-E47FD4AC8FDC}" keepAlive="1" name="Query - CPI_Index" description="Connection to the 'CPI_Index' query in the workbook." type="5" refreshedVersion="8" background="1" saveData="1">
    <dbPr connection="Provider=Microsoft.Mashup.OleDb.1;Data Source=$Workbook$;Location=CPI_Index;Extended Properties=&quot;&quot;" command="SELECT * FROM [CPI_Index]"/>
  </connection>
  <connection id="2" xr16:uid="{B36B6127-5DE3-4E99-A3FE-BFF3DE76CE03}" keepAlive="1" name="Query - CSO_Prices" description="Connection to the 'CSO_Prices' query in the workbook." type="5" refreshedVersion="8" background="1" saveData="1">
    <dbPr connection="Provider=Microsoft.Mashup.OleDb.1;Data Source=$Workbook$;Location=CSO_Prices;Extended Properties=&quot;&quot;" command="SELECT * FROM [CSO_Prices]"/>
  </connection>
</connections>
</file>

<file path=xl/sharedStrings.xml><?xml version="1.0" encoding="utf-8"?>
<sst xmlns="http://schemas.openxmlformats.org/spreadsheetml/2006/main" count="180" uniqueCount="119">
  <si>
    <t>Month</t>
  </si>
  <si>
    <t>Flour 2kg</t>
  </si>
  <si>
    <t>Loaf 800g</t>
  </si>
  <si>
    <t>Milk 2L</t>
  </si>
  <si>
    <t>Butter lb</t>
  </si>
  <si>
    <t>Sugar 1kg</t>
  </si>
  <si>
    <t>Inputs: fictional Irish bakery, 800g white sliced pan</t>
  </si>
  <si>
    <t>Item</t>
  </si>
  <si>
    <t>Value</t>
  </si>
  <si>
    <t>Unit</t>
  </si>
  <si>
    <t>Source / note</t>
  </si>
  <si>
    <t>Recipe per loaf</t>
  </si>
  <si>
    <t>Flour</t>
  </si>
  <si>
    <t>g</t>
  </si>
  <si>
    <t>Assumption: about 60% of dough weight</t>
  </si>
  <si>
    <t>Butter (fat)</t>
  </si>
  <si>
    <t>Assumption</t>
  </si>
  <si>
    <t>Sugar</t>
  </si>
  <si>
    <t>Milk</t>
  </si>
  <si>
    <t>ml</t>
  </si>
  <si>
    <t>Other ingredients (yeast, salt, improver)</t>
  </si>
  <si>
    <t>€ per loaf</t>
  </si>
  <si>
    <t>Bakery’s ingredient prices (Sept 2026)</t>
  </si>
  <si>
    <t>Flour price</t>
  </si>
  <si>
    <t>€ per kg</t>
  </si>
  <si>
    <t>Assumption: bulk bread flour, illustrative</t>
  </si>
  <si>
    <t>Butter price</t>
  </si>
  <si>
    <t>Assumption: bulk butter, illustrative</t>
  </si>
  <si>
    <t>Sugar price</t>
  </si>
  <si>
    <t>Assumption: bulk sugar, illustrative</t>
  </si>
  <si>
    <t>Milk price</t>
  </si>
  <si>
    <t>€ per litre</t>
  </si>
  <si>
    <t>Assumption: bulk milk, illustrative</t>
  </si>
  <si>
    <t>Other costs per loaf</t>
  </si>
  <si>
    <t>Packaging</t>
  </si>
  <si>
    <t>Energy (baking)</t>
  </si>
  <si>
    <t>Direct labour</t>
  </si>
  <si>
    <t>Distribution</t>
  </si>
  <si>
    <t>Selling and volume</t>
  </si>
  <si>
    <t>Latest CSO month</t>
  </si>
  <si>
    <t>month</t>
  </si>
  <si>
    <t>CSO_Prices sheet</t>
  </si>
  <si>
    <t>Shelf price</t>
  </si>
  <si>
    <t>CSO CPM12, latest month</t>
  </si>
  <si>
    <t>Retailer margin</t>
  </si>
  <si>
    <t>% of shelf price</t>
  </si>
  <si>
    <t>VAT rate</t>
  </si>
  <si>
    <t>%</t>
  </si>
  <si>
    <t>Weekly volume</t>
  </si>
  <si>
    <t>loaves</t>
  </si>
  <si>
    <t>Fixed costs</t>
  </si>
  <si>
    <t>€ per week</t>
  </si>
  <si>
    <t>Assumption: rent, salaried staff, equipment</t>
  </si>
  <si>
    <t>Checks</t>
  </si>
  <si>
    <t>Fat + sugar as % of flour</t>
  </si>
  <si>
    <t>Revenue limit for 0% VAT: 12%</t>
  </si>
  <si>
    <t>VAT check</t>
  </si>
  <si>
    <r>
      <rPr>
        <b/>
        <sz val="11"/>
        <color theme="3" tint="0.499984740745262"/>
        <rFont val="Aptos Narrow"/>
        <family val="2"/>
        <scheme val="minor"/>
      </rPr>
      <t>Blue = input you can change</t>
    </r>
    <r>
      <rPr>
        <b/>
        <sz val="11"/>
        <color theme="1"/>
        <rFont val="Aptos Narrow"/>
        <family val="2"/>
        <scheme val="minor"/>
      </rPr>
      <t>. Black = formula.</t>
    </r>
  </si>
  <si>
    <t>Comparison month</t>
  </si>
  <si>
    <t>Five years before the latest CSO month</t>
  </si>
  <si>
    <t>Calculations: cost, margin and profit per loaf</t>
  </si>
  <si>
    <t>CSO shop prices</t>
  </si>
  <si>
    <t>€ per 2 kg</t>
  </si>
  <si>
    <t>€ per lb</t>
  </si>
  <si>
    <t>€ per 2 litres</t>
  </si>
  <si>
    <t>Bakery’s ingredient cost per loaf</t>
  </si>
  <si>
    <t>Butter</t>
  </si>
  <si>
    <t>Other ingredients</t>
  </si>
  <si>
    <t>Ingredients total</t>
  </si>
  <si>
    <t>Packaging, energy, labour, distribution</t>
  </si>
  <si>
    <t>Variable cost per loaf</t>
  </si>
  <si>
    <t>Price and margin per loaf</t>
  </si>
  <si>
    <t>Bakery’s selling price</t>
  </si>
  <si>
    <t>Contribution per loaf</t>
  </si>
  <si>
    <t>Contribution margin</t>
  </si>
  <si>
    <t>% of bakery’s price</t>
  </si>
  <si>
    <t>Weekly totals</t>
  </si>
  <si>
    <t>Loaves sold</t>
  </si>
  <si>
    <t>Revenue</t>
  </si>
  <si>
    <t>Contribution</t>
  </si>
  <si>
    <t>Operating profit</t>
  </si>
  <si>
    <t>Operating margin</t>
  </si>
  <si>
    <t>% of revenue</t>
  </si>
  <si>
    <t>Break-even volume</t>
  </si>
  <si>
    <t>loaves per week</t>
  </si>
  <si>
    <t>Change</t>
  </si>
  <si>
    <t>Change %</t>
  </si>
  <si>
    <r>
      <rPr>
        <sz val="11"/>
        <color theme="1"/>
        <rFont val="Aptos Narrow"/>
        <family val="2"/>
        <scheme val="minor"/>
      </rPr>
      <t>Formulas only.</t>
    </r>
    <r>
      <rPr>
        <sz val="11"/>
        <color theme="3" tint="0.499984740745262"/>
        <rFont val="Aptos Narrow"/>
        <family val="2"/>
        <scheme val="minor"/>
      </rPr>
      <t xml:space="preserve"> Change numbers on the </t>
    </r>
    <r>
      <rPr>
        <b/>
        <u/>
        <sz val="11"/>
        <color theme="3" tint="0.499984740745262"/>
        <rFont val="Aptos Narrow"/>
        <family val="2"/>
        <scheme val="minor"/>
      </rPr>
      <t>Inputs</t>
    </r>
    <r>
      <rPr>
        <sz val="11"/>
        <color theme="3" tint="0.499984740745262"/>
        <rFont val="Aptos Narrow"/>
        <family val="2"/>
        <scheme val="minor"/>
      </rPr>
      <t xml:space="preserve"> tab.</t>
    </r>
  </si>
  <si>
    <t>CPI all items</t>
  </si>
  <si>
    <t>CPI electricity</t>
  </si>
  <si>
    <t>CPI fuels</t>
  </si>
  <si>
    <t>Cost rises since comparison month</t>
  </si>
  <si>
    <t>Minimum wage, comparison month</t>
  </si>
  <si>
    <t>€ per hour</t>
  </si>
  <si>
    <t>S.I. 427/2020, from 1 Jan 2021</t>
  </si>
  <si>
    <t>Minimum wage, latest month</t>
  </si>
  <si>
    <t>National minimum wage from 1 Jan 2026</t>
  </si>
  <si>
    <t>Labour rise</t>
  </si>
  <si>
    <t>Minimum wage as proxy</t>
  </si>
  <si>
    <t>Energy rise</t>
  </si>
  <si>
    <t>CSO CPM24, CPI electricity</t>
  </si>
  <si>
    <t>Distribution rise</t>
  </si>
  <si>
    <t>CSO CPM24, CPI fuels</t>
  </si>
  <si>
    <t>Packaging and fixed costs rise</t>
  </si>
  <si>
    <t>CSO CPM24, CPI all items</t>
  </si>
  <si>
    <t>Pricing decision</t>
  </si>
  <si>
    <t>Price change vs CSO shelf price</t>
  </si>
  <si>
    <t>Set by Goal Seek</t>
  </si>
  <si>
    <t>Operating margin gap vs comparison month</t>
  </si>
  <si>
    <t>% points</t>
  </si>
  <si>
    <t>Goal Seek target: 0</t>
  </si>
  <si>
    <t>Bread is zero-rated in Ireland (see row 45)</t>
  </si>
  <si>
    <t>Scenarios: weekly profit by price change and further cost rise</t>
  </si>
  <si>
    <t>Price change is against today’s CSO shelf price. Cost rise applies to all bakery costs. Volume held at Inputs B28.</t>
  </si>
  <si>
    <t>Price change vs today’s shelf price</t>
  </si>
  <si>
    <t>Bakery’s price</t>
  </si>
  <si>
    <t>Weekly operating profit (€)</t>
  </si>
  <si>
    <t>Further cost rise</t>
  </si>
  <si>
    <t>2021 operating margin (target)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</si>
</sst>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mmm\ yyyy"/>
    <numFmt numFmtId="166" formatCode="_-* #,##0_-;\-* #,##0_-;_-* &quot;-&quot;??_-;_-@_-"/>
    <numFmt numFmtId="167" formatCode="0.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0"/>
      <color theme="1"/>
      <name val="Arial Unicode MS"/>
    </font>
    <font>
      <sz val="10"/>
      <color theme="3" tint="0.499984740745262"/>
      <name val="Arial Unicode MS"/>
    </font>
    <font>
      <b/>
      <u/>
      <sz val="11"/>
      <color theme="3" tint="0.499984740745262"/>
      <name val="Aptos Narrow"/>
      <family val="2"/>
      <scheme val="minor"/>
    </font>
    <font>
      <b/>
      <sz val="10"/>
      <color theme="3" tint="0.499984740745262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9" fontId="3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6" fontId="3" fillId="0" borderId="0" xfId="1" applyNumberFormat="1" applyFont="1" applyAlignment="1">
      <alignment vertical="center" wrapText="1"/>
    </xf>
    <xf numFmtId="167" fontId="4" fillId="0" borderId="0" xfId="0" applyNumberFormat="1" applyFont="1" applyAlignment="1">
      <alignment vertical="center" wrapText="1"/>
    </xf>
    <xf numFmtId="0" fontId="2" fillId="0" borderId="0" xfId="0" applyFont="1"/>
    <xf numFmtId="165" fontId="0" fillId="0" borderId="1" xfId="0" applyNumberFormat="1" applyBorder="1"/>
    <xf numFmtId="9" fontId="7" fillId="0" borderId="0" xfId="0" applyNumberFormat="1" applyFont="1" applyAlignment="1">
      <alignment vertical="center" wrapText="1"/>
    </xf>
    <xf numFmtId="165" fontId="2" fillId="0" borderId="0" xfId="0" applyNumberFormat="1" applyFont="1"/>
    <xf numFmtId="164" fontId="0" fillId="0" borderId="0" xfId="0" applyNumberFormat="1"/>
    <xf numFmtId="164" fontId="6" fillId="0" borderId="0" xfId="0" applyNumberFormat="1" applyFont="1" applyAlignment="1">
      <alignment vertical="center" wrapText="1"/>
    </xf>
    <xf numFmtId="167" fontId="0" fillId="0" borderId="0" xfId="0" applyNumberFormat="1"/>
    <xf numFmtId="3" fontId="0" fillId="0" borderId="0" xfId="0" applyNumberFormat="1"/>
    <xf numFmtId="3" fontId="6" fillId="0" borderId="0" xfId="0" applyNumberFormat="1" applyFont="1"/>
    <xf numFmtId="167" fontId="3" fillId="0" borderId="0" xfId="0" applyNumberFormat="1" applyFont="1" applyAlignment="1">
      <alignment vertical="center" wrapText="1"/>
    </xf>
    <xf numFmtId="167" fontId="6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9" fontId="9" fillId="0" borderId="0" xfId="0" applyNumberFormat="1" applyFont="1"/>
    <xf numFmtId="9" fontId="5" fillId="0" borderId="0" xfId="0" applyNumberFormat="1" applyFont="1"/>
    <xf numFmtId="167" fontId="6" fillId="0" borderId="0" xfId="0" applyNumberFormat="1" applyFont="1"/>
  </cellXfs>
  <cellStyles count="2">
    <cellStyle name="Comma" xfId="1" builtinId="3"/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45CCC8E-641C-4DDD-B25D-886680AF0767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Flour 2kg" tableColumnId="2"/>
      <queryTableField id="3" name="Loaf 800g" tableColumnId="3"/>
      <queryTableField id="4" name="Milk 2L" tableColumnId="4"/>
      <queryTableField id="5" name="Butter lb" tableColumnId="5"/>
      <queryTableField id="6" name="Sugar 1kg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F8E748-E1CF-4F6E-BB78-6D5DA07C04F1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CPI all items" tableColumnId="2"/>
      <queryTableField id="3" name="CPI electricity" tableColumnId="3"/>
      <queryTableField id="4" name="CPI fuel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351DD-8AD9-49A4-A3A6-24D4C925BC20}" name="CSO_Prices" displayName="CSO_Prices" ref="A1:F178" tableType="queryTable" totalsRowShown="0">
  <autoFilter ref="A1:F178" xr:uid="{21C351DD-8AD9-49A4-A3A6-24D4C925BC20}"/>
  <tableColumns count="6">
    <tableColumn id="1" xr3:uid="{CBDC4F1B-EC5A-4CFC-AEA0-F04671D61677}" uniqueName="1" name="Month" queryTableFieldId="1" dataDxfId="4"/>
    <tableColumn id="2" xr3:uid="{C1C259AC-9215-411E-A8EF-AEF24A29D084}" uniqueName="2" name="Flour 2kg" queryTableFieldId="2"/>
    <tableColumn id="3" xr3:uid="{B001AE95-042C-41FB-A3EA-649DAFE63B3D}" uniqueName="3" name="Loaf 800g" queryTableFieldId="3"/>
    <tableColumn id="4" xr3:uid="{DFF245EB-F2F2-4D0F-BCA4-CE38510A20CC}" uniqueName="4" name="Milk 2L" queryTableFieldId="4"/>
    <tableColumn id="5" xr3:uid="{E8423650-6BA4-433F-B06A-2E2830BB9C4E}" uniqueName="5" name="Butter lb" queryTableFieldId="5"/>
    <tableColumn id="6" xr3:uid="{EC3DBA51-28F0-40BA-A3E3-609D55A86D81}" uniqueName="6" name="Sugar 1kg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15E82C-F4FC-4300-B2E3-336511BE6177}" name="CPI_Index" displayName="CPI_Index" ref="A1:D178" tableType="queryTable" totalsRowShown="0">
  <autoFilter ref="A1:D178" xr:uid="{5015E82C-F4FC-4300-B2E3-336511BE6177}"/>
  <tableColumns count="4">
    <tableColumn id="1" xr3:uid="{2871BCE8-9BC9-4399-B8BE-7910E3C30E70}" uniqueName="1" name="Month" queryTableFieldId="1" dataDxfId="3"/>
    <tableColumn id="2" xr3:uid="{01C79CEB-E030-41B9-AE5D-912D25C259EA}" uniqueName="2" name="CPI all items" queryTableFieldId="2"/>
    <tableColumn id="3" xr3:uid="{13850706-AF98-4C7D-8B66-3562BB1E5BD6}" uniqueName="3" name="CPI electricity" queryTableFieldId="3"/>
    <tableColumn id="4" xr3:uid="{16035EEC-13AF-4EC2-A5A5-75A03D42ECCF}" uniqueName="4" name="CPI fuel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0EE1-0D30-4134-8882-10ECBF1F4E33}">
  <dimension ref="A1:E45"/>
  <sheetViews>
    <sheetView topLeftCell="A20" workbookViewId="0">
      <selection activeCell="G28" sqref="G28"/>
    </sheetView>
  </sheetViews>
  <sheetFormatPr defaultRowHeight="14.4"/>
  <cols>
    <col min="1" max="1" width="41.578125" bestFit="1" customWidth="1"/>
    <col min="2" max="2" width="11.9453125" bestFit="1" customWidth="1"/>
    <col min="3" max="3" width="11.578125" customWidth="1"/>
    <col min="4" max="4" width="35.05078125" customWidth="1"/>
  </cols>
  <sheetData>
    <row r="1" spans="1:5">
      <c r="A1" s="12" t="s">
        <v>6</v>
      </c>
    </row>
    <row r="2" spans="1:5">
      <c r="A2" s="12" t="s">
        <v>57</v>
      </c>
    </row>
    <row r="3" spans="1:5">
      <c r="A3" s="3" t="s">
        <v>7</v>
      </c>
      <c r="B3" s="3" t="s">
        <v>8</v>
      </c>
      <c r="C3" s="3" t="s">
        <v>9</v>
      </c>
      <c r="D3" s="3" t="s">
        <v>10</v>
      </c>
    </row>
    <row r="4" spans="1:5">
      <c r="A4" s="3" t="s">
        <v>11</v>
      </c>
      <c r="C4" s="2"/>
      <c r="D4" s="2"/>
      <c r="E4" s="2"/>
    </row>
    <row r="5" spans="1:5">
      <c r="A5" s="2" t="s">
        <v>12</v>
      </c>
      <c r="B5" s="5">
        <v>480</v>
      </c>
      <c r="C5" s="2" t="s">
        <v>13</v>
      </c>
      <c r="D5" s="2" t="s">
        <v>14</v>
      </c>
    </row>
    <row r="6" spans="1:5">
      <c r="A6" s="2" t="s">
        <v>15</v>
      </c>
      <c r="B6" s="5">
        <v>15</v>
      </c>
      <c r="C6" s="2" t="s">
        <v>13</v>
      </c>
      <c r="D6" s="2" t="s">
        <v>16</v>
      </c>
    </row>
    <row r="7" spans="1:5">
      <c r="A7" s="2" t="s">
        <v>17</v>
      </c>
      <c r="B7" s="5">
        <v>10</v>
      </c>
      <c r="C7" s="2" t="s">
        <v>13</v>
      </c>
      <c r="D7" s="2" t="s">
        <v>16</v>
      </c>
    </row>
    <row r="8" spans="1:5">
      <c r="A8" s="2" t="s">
        <v>18</v>
      </c>
      <c r="B8" s="5">
        <v>30</v>
      </c>
      <c r="C8" s="2" t="s">
        <v>19</v>
      </c>
      <c r="D8" s="2" t="s">
        <v>16</v>
      </c>
    </row>
    <row r="9" spans="1:5">
      <c r="A9" s="2" t="s">
        <v>20</v>
      </c>
      <c r="B9" s="7">
        <v>0.02</v>
      </c>
      <c r="C9" s="2" t="s">
        <v>21</v>
      </c>
      <c r="D9" s="2" t="s">
        <v>16</v>
      </c>
    </row>
    <row r="10" spans="1:5">
      <c r="A10" s="2"/>
      <c r="B10" s="5"/>
      <c r="C10" s="2"/>
      <c r="D10" s="2"/>
    </row>
    <row r="11" spans="1:5">
      <c r="A11" s="3" t="s">
        <v>22</v>
      </c>
      <c r="B11" s="5"/>
      <c r="C11" s="2"/>
      <c r="D11" s="2"/>
    </row>
    <row r="12" spans="1:5">
      <c r="A12" s="2" t="s">
        <v>23</v>
      </c>
      <c r="B12" s="7">
        <v>0.6</v>
      </c>
      <c r="C12" s="2" t="s">
        <v>24</v>
      </c>
      <c r="D12" s="2" t="s">
        <v>25</v>
      </c>
    </row>
    <row r="13" spans="1:5">
      <c r="A13" s="2" t="s">
        <v>26</v>
      </c>
      <c r="B13" s="7">
        <v>6</v>
      </c>
      <c r="C13" s="2" t="s">
        <v>24</v>
      </c>
      <c r="D13" s="2" t="s">
        <v>27</v>
      </c>
    </row>
    <row r="14" spans="1:5">
      <c r="A14" s="2" t="s">
        <v>28</v>
      </c>
      <c r="B14" s="7">
        <v>0.8</v>
      </c>
      <c r="C14" s="2" t="s">
        <v>24</v>
      </c>
      <c r="D14" s="2" t="s">
        <v>29</v>
      </c>
    </row>
    <row r="15" spans="1:5">
      <c r="A15" s="2" t="s">
        <v>30</v>
      </c>
      <c r="B15" s="7">
        <v>0.5</v>
      </c>
      <c r="C15" s="2" t="s">
        <v>31</v>
      </c>
      <c r="D15" s="2" t="s">
        <v>32</v>
      </c>
    </row>
    <row r="16" spans="1:5">
      <c r="A16" s="2"/>
      <c r="B16" s="5"/>
      <c r="C16" s="2"/>
      <c r="D16" s="2"/>
    </row>
    <row r="17" spans="1:4">
      <c r="A17" s="3" t="s">
        <v>33</v>
      </c>
      <c r="B17" s="5"/>
      <c r="C17" s="2"/>
      <c r="D17" s="2"/>
    </row>
    <row r="18" spans="1:4">
      <c r="A18" s="2" t="s">
        <v>34</v>
      </c>
      <c r="B18" s="7">
        <v>0.04</v>
      </c>
      <c r="C18" s="2" t="s">
        <v>21</v>
      </c>
      <c r="D18" s="2" t="s">
        <v>16</v>
      </c>
    </row>
    <row r="19" spans="1:4">
      <c r="A19" s="2" t="s">
        <v>35</v>
      </c>
      <c r="B19" s="7">
        <v>0.08</v>
      </c>
      <c r="C19" s="2" t="s">
        <v>21</v>
      </c>
      <c r="D19" s="2" t="s">
        <v>16</v>
      </c>
    </row>
    <row r="20" spans="1:4">
      <c r="A20" s="2" t="s">
        <v>36</v>
      </c>
      <c r="B20" s="7">
        <v>0.12</v>
      </c>
      <c r="C20" s="2" t="s">
        <v>21</v>
      </c>
      <c r="D20" s="2" t="s">
        <v>16</v>
      </c>
    </row>
    <row r="21" spans="1:4">
      <c r="A21" s="2" t="s">
        <v>37</v>
      </c>
      <c r="B21" s="7">
        <v>0.06</v>
      </c>
      <c r="C21" s="2" t="s">
        <v>21</v>
      </c>
      <c r="D21" s="2" t="s">
        <v>16</v>
      </c>
    </row>
    <row r="22" spans="1:4">
      <c r="A22" s="2"/>
      <c r="B22" s="5"/>
      <c r="C22" s="2"/>
      <c r="D22" s="2"/>
    </row>
    <row r="23" spans="1:4">
      <c r="A23" s="3" t="s">
        <v>38</v>
      </c>
      <c r="B23" s="5"/>
      <c r="C23" s="2"/>
      <c r="D23" s="2"/>
    </row>
    <row r="24" spans="1:4">
      <c r="A24" s="2" t="s">
        <v>39</v>
      </c>
      <c r="B24" s="9">
        <f>MAX(CSO_Prices[Month])</f>
        <v>46266</v>
      </c>
      <c r="C24" s="2" t="s">
        <v>40</v>
      </c>
      <c r="D24" s="2" t="s">
        <v>41</v>
      </c>
    </row>
    <row r="25" spans="1:4">
      <c r="A25" s="2" t="s">
        <v>42</v>
      </c>
      <c r="B25" s="8">
        <f>_xlfn.XLOOKUP(B24, CSO_Prices[Month], CSO_Prices[Loaf 800g])</f>
        <v>1.6719999999999999</v>
      </c>
      <c r="C25" s="2" t="s">
        <v>21</v>
      </c>
      <c r="D25" s="2" t="s">
        <v>43</v>
      </c>
    </row>
    <row r="26" spans="1:4" ht="28.8">
      <c r="A26" s="2" t="s">
        <v>44</v>
      </c>
      <c r="B26" s="6">
        <v>0.25</v>
      </c>
      <c r="C26" s="2" t="s">
        <v>45</v>
      </c>
      <c r="D26" s="2" t="s">
        <v>16</v>
      </c>
    </row>
    <row r="27" spans="1:4">
      <c r="A27" s="2" t="s">
        <v>46</v>
      </c>
      <c r="B27" s="6">
        <v>0</v>
      </c>
      <c r="C27" s="2" t="s">
        <v>47</v>
      </c>
      <c r="D27" s="2" t="s">
        <v>111</v>
      </c>
    </row>
    <row r="28" spans="1:4">
      <c r="A28" s="2" t="s">
        <v>48</v>
      </c>
      <c r="B28" s="10">
        <v>20000</v>
      </c>
      <c r="C28" s="2" t="s">
        <v>49</v>
      </c>
      <c r="D28" s="2" t="s">
        <v>16</v>
      </c>
    </row>
    <row r="29" spans="1:4">
      <c r="A29" s="2" t="s">
        <v>50</v>
      </c>
      <c r="B29" s="10">
        <v>7000</v>
      </c>
      <c r="C29" s="2" t="s">
        <v>51</v>
      </c>
      <c r="D29" s="2" t="s">
        <v>52</v>
      </c>
    </row>
    <row r="30" spans="1:4">
      <c r="A30" t="s">
        <v>58</v>
      </c>
      <c r="B30" s="13">
        <f>EDATE(B24,-60)</f>
        <v>44440</v>
      </c>
      <c r="C30" s="2" t="s">
        <v>40</v>
      </c>
      <c r="D30" t="s">
        <v>59</v>
      </c>
    </row>
    <row r="31" spans="1:4">
      <c r="A31" s="12" t="s">
        <v>91</v>
      </c>
      <c r="B31" s="14"/>
      <c r="C31" s="2"/>
      <c r="D31" s="2"/>
    </row>
    <row r="32" spans="1:4">
      <c r="A32" s="2" t="s">
        <v>92</v>
      </c>
      <c r="B32" s="7">
        <v>10.199999999999999</v>
      </c>
      <c r="C32" s="2" t="s">
        <v>93</v>
      </c>
      <c r="D32" s="2" t="s">
        <v>94</v>
      </c>
    </row>
    <row r="33" spans="1:5">
      <c r="A33" s="2" t="s">
        <v>95</v>
      </c>
      <c r="B33" s="7">
        <v>14.15</v>
      </c>
      <c r="C33" s="2" t="s">
        <v>93</v>
      </c>
      <c r="D33" s="2" t="s">
        <v>96</v>
      </c>
    </row>
    <row r="34" spans="1:5">
      <c r="A34" s="2" t="s">
        <v>97</v>
      </c>
      <c r="B34" s="18">
        <f>B33/B32-1</f>
        <v>0.38725490196078449</v>
      </c>
      <c r="C34" s="2" t="s">
        <v>47</v>
      </c>
      <c r="D34" s="2" t="s">
        <v>98</v>
      </c>
    </row>
    <row r="35" spans="1:5">
      <c r="A35" s="2" t="s">
        <v>99</v>
      </c>
      <c r="B35" s="11">
        <f>_xlfn.XLOOKUP($B$24, CPI_Index[Month], CPI_Index[CPI electricity]) / _xlfn.XLOOKUP($B$30, CPI_Index[Month], CPI_Index[CPI electricity]) - 1</f>
        <v>0.49850746268656732</v>
      </c>
      <c r="C35" s="2" t="s">
        <v>47</v>
      </c>
      <c r="D35" s="2" t="s">
        <v>100</v>
      </c>
    </row>
    <row r="36" spans="1:5">
      <c r="A36" s="2" t="s">
        <v>101</v>
      </c>
      <c r="B36" s="11">
        <f>_xlfn.XLOOKUP($B$24, CPI_Index[Month], CPI_Index[CPI fuels]) / _xlfn.XLOOKUP($B$30, CPI_Index[Month], CPI_Index[CPI fuels]) - 1</f>
        <v>0.33523375142531342</v>
      </c>
      <c r="C36" s="2" t="s">
        <v>47</v>
      </c>
      <c r="D36" s="2" t="s">
        <v>102</v>
      </c>
    </row>
    <row r="37" spans="1:5">
      <c r="A37" s="2" t="s">
        <v>103</v>
      </c>
      <c r="B37" s="18">
        <f>_xlfn.XLOOKUP($B$24, CPI_Index[Month], CPI_Index[CPI all items]) / _xlfn.XLOOKUP($B$30, CPI_Index[Month], CPI_Index[CPI all items]) - 1</f>
        <v>0.23963133640553003</v>
      </c>
      <c r="C37" s="2" t="s">
        <v>47</v>
      </c>
      <c r="D37" s="2" t="s">
        <v>104</v>
      </c>
    </row>
    <row r="38" spans="1:5">
      <c r="A38" s="2"/>
      <c r="B38" s="2"/>
      <c r="C38" s="2"/>
      <c r="D38" s="2"/>
    </row>
    <row r="39" spans="1:5">
      <c r="A39" s="3" t="s">
        <v>105</v>
      </c>
      <c r="B39" s="2"/>
      <c r="C39" s="2"/>
      <c r="D39" s="2"/>
    </row>
    <row r="40" spans="1:5">
      <c r="A40" s="2" t="s">
        <v>106</v>
      </c>
      <c r="B40" s="21">
        <v>0</v>
      </c>
      <c r="C40" s="2" t="s">
        <v>47</v>
      </c>
      <c r="D40" s="2" t="s">
        <v>107</v>
      </c>
    </row>
    <row r="41" spans="1:5">
      <c r="A41" s="2" t="s">
        <v>108</v>
      </c>
      <c r="B41" s="22">
        <f>Calculations!D35</f>
        <v>-4.553448476115543E-2</v>
      </c>
      <c r="C41" s="2" t="s">
        <v>109</v>
      </c>
      <c r="D41" s="2" t="s">
        <v>110</v>
      </c>
    </row>
    <row r="42" spans="1:5">
      <c r="A42" s="2"/>
      <c r="B42" s="2"/>
      <c r="C42" s="2"/>
      <c r="D42" s="2"/>
    </row>
    <row r="43" spans="1:5">
      <c r="A43" s="3" t="s">
        <v>53</v>
      </c>
      <c r="B43" s="2"/>
      <c r="C43" s="2"/>
      <c r="D43" s="2"/>
    </row>
    <row r="44" spans="1:5">
      <c r="A44" s="2" t="s">
        <v>54</v>
      </c>
      <c r="B44" s="11">
        <f>(B6+B7)/B5</f>
        <v>5.2083333333333336E-2</v>
      </c>
      <c r="C44" s="2" t="s">
        <v>47</v>
      </c>
      <c r="D44" s="2" t="s">
        <v>55</v>
      </c>
    </row>
    <row r="45" spans="1:5" ht="28.8">
      <c r="A45" s="2" t="s">
        <v>56</v>
      </c>
      <c r="B45" s="4" t="str">
        <f>IF(B44&lt;=12%, "OK: zero-rated", "Check: reduced VAT rate applies")</f>
        <v>OK: zero-rated</v>
      </c>
      <c r="D45" s="2"/>
      <c r="E4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FD9C-73BD-4E18-BB7C-B5B9F5072478}">
  <dimension ref="A1:F36"/>
  <sheetViews>
    <sheetView topLeftCell="A4" workbookViewId="0">
      <selection activeCell="A28" sqref="A28"/>
    </sheetView>
  </sheetViews>
  <sheetFormatPr defaultRowHeight="14.4"/>
  <cols>
    <col min="1" max="1" width="40.20703125" customWidth="1"/>
    <col min="2" max="3" width="9.20703125" bestFit="1" customWidth="1"/>
    <col min="4" max="4" width="8.89453125" bestFit="1" customWidth="1"/>
    <col min="6" max="6" width="16" customWidth="1"/>
  </cols>
  <sheetData>
    <row r="1" spans="1:6">
      <c r="A1" s="3" t="s">
        <v>60</v>
      </c>
      <c r="B1" s="2"/>
    </row>
    <row r="2" spans="1:6" ht="28.8">
      <c r="A2" s="5" t="s">
        <v>87</v>
      </c>
      <c r="B2" s="2"/>
    </row>
    <row r="3" spans="1:6" s="12" customFormat="1">
      <c r="A3" s="3" t="s">
        <v>7</v>
      </c>
      <c r="B3" s="15">
        <f>Inputs!B24</f>
        <v>46266</v>
      </c>
      <c r="C3" s="15">
        <f>Inputs!B30</f>
        <v>44440</v>
      </c>
      <c r="D3" s="12" t="s">
        <v>85</v>
      </c>
      <c r="E3" s="12" t="s">
        <v>86</v>
      </c>
      <c r="F3" s="3" t="s">
        <v>9</v>
      </c>
    </row>
    <row r="4" spans="1:6">
      <c r="A4" s="3" t="s">
        <v>61</v>
      </c>
      <c r="F4" s="2"/>
    </row>
    <row r="5" spans="1:6">
      <c r="A5" s="2" t="s">
        <v>2</v>
      </c>
      <c r="B5" s="16">
        <f>_xlfn.XLOOKUP(B$3, CSO_Prices[Month], CSO_Prices[Loaf 800g])</f>
        <v>1.6719999999999999</v>
      </c>
      <c r="C5" s="16">
        <f>_xlfn.XLOOKUP(C$3, CSO_Prices[Month], CSO_Prices[Loaf 800g])</f>
        <v>1.3640000000000001</v>
      </c>
      <c r="D5" s="16">
        <f>B5-C5</f>
        <v>0.30799999999999983</v>
      </c>
      <c r="E5" s="18">
        <f>B5/C5-1</f>
        <v>0.22580645161290303</v>
      </c>
      <c r="F5" s="2" t="s">
        <v>21</v>
      </c>
    </row>
    <row r="6" spans="1:6">
      <c r="A6" s="2" t="s">
        <v>1</v>
      </c>
      <c r="B6" s="16">
        <f>_xlfn.XLOOKUP(B$3, CSO_Prices[Month], CSO_Prices[Flour 2kg])</f>
        <v>2.5649999999999999</v>
      </c>
      <c r="C6" s="16">
        <f>_xlfn.XLOOKUP(C$3, CSO_Prices[Month], CSO_Prices[Flour 2kg])</f>
        <v>2.0369999999999999</v>
      </c>
      <c r="D6" s="16">
        <f t="shared" ref="D6:D9" si="0">B6-C6</f>
        <v>0.52800000000000002</v>
      </c>
      <c r="E6" s="18">
        <f t="shared" ref="E6:E9" si="1">B6/C6-1</f>
        <v>0.2592047128129602</v>
      </c>
      <c r="F6" s="2" t="s">
        <v>62</v>
      </c>
    </row>
    <row r="7" spans="1:6">
      <c r="A7" s="2" t="s">
        <v>4</v>
      </c>
      <c r="B7" s="16">
        <f>_xlfn.XLOOKUP(B$3, CSO_Prices[Month], CSO_Prices[Butter lb])</f>
        <v>4.2380000000000004</v>
      </c>
      <c r="C7" s="16">
        <f>_xlfn.XLOOKUP(C$3, CSO_Prices[Month], CSO_Prices[Butter lb])</f>
        <v>2.9750000000000001</v>
      </c>
      <c r="D7" s="16">
        <f t="shared" si="0"/>
        <v>1.2630000000000003</v>
      </c>
      <c r="E7" s="18">
        <f t="shared" si="1"/>
        <v>0.4245378151260506</v>
      </c>
      <c r="F7" s="2" t="s">
        <v>63</v>
      </c>
    </row>
    <row r="8" spans="1:6">
      <c r="A8" s="2" t="s">
        <v>5</v>
      </c>
      <c r="B8" s="16">
        <f>_xlfn.XLOOKUP(B$3, CSO_Prices[Month], CSO_Prices[Sugar 1kg])</f>
        <v>1.8340000000000001</v>
      </c>
      <c r="C8" s="16">
        <f>_xlfn.XLOOKUP(C$3, CSO_Prices[Month], CSO_Prices[Sugar 1kg])</f>
        <v>1.17</v>
      </c>
      <c r="D8" s="16">
        <f t="shared" si="0"/>
        <v>0.66400000000000015</v>
      </c>
      <c r="E8" s="18">
        <f t="shared" si="1"/>
        <v>0.56752136752136773</v>
      </c>
      <c r="F8" s="2" t="s">
        <v>24</v>
      </c>
    </row>
    <row r="9" spans="1:6">
      <c r="A9" s="2" t="s">
        <v>3</v>
      </c>
      <c r="B9" s="16">
        <f>_xlfn.XLOOKUP(B$3, CSO_Prices[Month], CSO_Prices[Milk 2L])</f>
        <v>2.3740000000000001</v>
      </c>
      <c r="C9" s="16">
        <f>_xlfn.XLOOKUP(C$3, CSO_Prices[Month], CSO_Prices[Milk 2L])</f>
        <v>1.6930000000000001</v>
      </c>
      <c r="D9" s="16">
        <f t="shared" si="0"/>
        <v>0.68100000000000005</v>
      </c>
      <c r="E9" s="18">
        <f t="shared" si="1"/>
        <v>0.40224453632604851</v>
      </c>
      <c r="F9" s="2" t="s">
        <v>64</v>
      </c>
    </row>
    <row r="10" spans="1:6">
      <c r="A10" s="2"/>
      <c r="B10" s="16"/>
      <c r="C10" s="16"/>
      <c r="D10" s="16"/>
      <c r="E10" s="18"/>
      <c r="F10" s="2"/>
    </row>
    <row r="11" spans="1:6">
      <c r="A11" s="3" t="s">
        <v>65</v>
      </c>
      <c r="B11" s="16"/>
      <c r="C11" s="16"/>
      <c r="D11" s="16"/>
      <c r="E11" s="18"/>
      <c r="F11" s="2"/>
    </row>
    <row r="12" spans="1:6">
      <c r="A12" s="2" t="s">
        <v>12</v>
      </c>
      <c r="B12" s="16">
        <f>Inputs!$B$5/1000*Inputs!$B$12*B6/$B6</f>
        <v>0.28799999999999998</v>
      </c>
      <c r="C12" s="16">
        <f>Inputs!$B$5/1000*Inputs!$B$12*C6/$B6</f>
        <v>0.22871578947368421</v>
      </c>
      <c r="D12" s="16">
        <f t="shared" ref="D12:D17" si="2">B12-C12</f>
        <v>5.9284210526315773E-2</v>
      </c>
      <c r="E12" s="18">
        <f t="shared" ref="E12:E17" si="3">B12/C12-1</f>
        <v>0.2592047128129602</v>
      </c>
      <c r="F12" s="2" t="s">
        <v>21</v>
      </c>
    </row>
    <row r="13" spans="1:6">
      <c r="A13" s="2" t="s">
        <v>66</v>
      </c>
      <c r="B13" s="16">
        <f>Inputs!$B$6/1000*Inputs!$B$13*B7/$B7</f>
        <v>0.09</v>
      </c>
      <c r="C13" s="16">
        <f>Inputs!$B$6/1000*Inputs!$B$13*C7/$B7</f>
        <v>6.3178386031146755E-2</v>
      </c>
      <c r="D13" s="16">
        <f t="shared" si="2"/>
        <v>2.6821613968853242E-2</v>
      </c>
      <c r="E13" s="18">
        <f t="shared" si="3"/>
        <v>0.4245378151260506</v>
      </c>
      <c r="F13" s="2" t="s">
        <v>21</v>
      </c>
    </row>
    <row r="14" spans="1:6">
      <c r="A14" s="2" t="s">
        <v>17</v>
      </c>
      <c r="B14" s="16">
        <f>Inputs!$B$7/1000*Inputs!$B$14*B8/$B8</f>
        <v>8.0000000000000002E-3</v>
      </c>
      <c r="C14" s="16">
        <f>Inputs!$B$7/1000*Inputs!$B$14*C8/$B8</f>
        <v>5.103598691384951E-3</v>
      </c>
      <c r="D14" s="16">
        <f t="shared" si="2"/>
        <v>2.8964013086150492E-3</v>
      </c>
      <c r="E14" s="18">
        <f t="shared" si="3"/>
        <v>0.5675213675213675</v>
      </c>
      <c r="F14" s="2" t="s">
        <v>21</v>
      </c>
    </row>
    <row r="15" spans="1:6">
      <c r="A15" s="2" t="s">
        <v>18</v>
      </c>
      <c r="B15" s="16">
        <f>Inputs!$B$8/1000*Inputs!$B$15*B9/$B9</f>
        <v>1.5000000000000001E-2</v>
      </c>
      <c r="C15" s="16">
        <f>Inputs!$B$8/1000*Inputs!$B$15*C9/$B9</f>
        <v>1.0697135636057287E-2</v>
      </c>
      <c r="D15" s="16">
        <f t="shared" si="2"/>
        <v>4.3028643639427145E-3</v>
      </c>
      <c r="E15" s="18">
        <f t="shared" si="3"/>
        <v>0.40224453632604873</v>
      </c>
      <c r="F15" s="2" t="s">
        <v>21</v>
      </c>
    </row>
    <row r="16" spans="1:6">
      <c r="A16" s="2" t="s">
        <v>67</v>
      </c>
      <c r="B16" s="16">
        <f>Inputs!$B$9</f>
        <v>0.02</v>
      </c>
      <c r="C16" s="16">
        <f>Inputs!$B$9</f>
        <v>0.02</v>
      </c>
      <c r="D16" s="16">
        <f t="shared" si="2"/>
        <v>0</v>
      </c>
      <c r="E16" s="18">
        <f t="shared" si="3"/>
        <v>0</v>
      </c>
      <c r="F16" s="2" t="s">
        <v>21</v>
      </c>
    </row>
    <row r="17" spans="1:6">
      <c r="A17" s="3" t="s">
        <v>68</v>
      </c>
      <c r="B17" s="16">
        <f>SUM(B12:B16)</f>
        <v>0.42100000000000004</v>
      </c>
      <c r="C17" s="16">
        <f>SUM(C12:C16)</f>
        <v>0.32769490983227323</v>
      </c>
      <c r="D17" s="16">
        <f t="shared" si="2"/>
        <v>9.3305090167726812E-2</v>
      </c>
      <c r="E17" s="18">
        <f t="shared" si="3"/>
        <v>0.2847315822375267</v>
      </c>
      <c r="F17" s="2" t="s">
        <v>21</v>
      </c>
    </row>
    <row r="18" spans="1:6">
      <c r="A18" s="3"/>
      <c r="B18" s="16"/>
      <c r="C18" s="16"/>
      <c r="D18" s="16"/>
      <c r="E18" s="18"/>
      <c r="F18" s="2"/>
    </row>
    <row r="19" spans="1:6">
      <c r="A19" s="3" t="s">
        <v>33</v>
      </c>
      <c r="B19" s="16"/>
      <c r="C19" s="16"/>
      <c r="D19" s="16"/>
      <c r="E19" s="18"/>
      <c r="F19" s="2"/>
    </row>
    <row r="20" spans="1:6">
      <c r="A20" s="2" t="s">
        <v>69</v>
      </c>
      <c r="B20" s="16">
        <f>SUM(Inputs!$B$18:$B$21)</f>
        <v>0.3</v>
      </c>
      <c r="C20" s="16">
        <f>Inputs!$B$18/(1+Inputs!$B$37)+Inputs!$B$19/(1+Inputs!$B$35)+Inputs!$B$20/(1+Inputs!$B$34)+Inputs!$B$21/(1+Inputs!$B$36)</f>
        <v>0.21709183113791025</v>
      </c>
      <c r="D20" s="16">
        <f t="shared" ref="D20:D21" si="4">B20-C20</f>
        <v>8.2908168862089737E-2</v>
      </c>
      <c r="E20" s="18">
        <f t="shared" ref="E20:E21" si="5">B20/C20-1</f>
        <v>0.38190367839967831</v>
      </c>
      <c r="F20" s="2" t="s">
        <v>21</v>
      </c>
    </row>
    <row r="21" spans="1:6">
      <c r="A21" s="3" t="s">
        <v>70</v>
      </c>
      <c r="B21" s="16">
        <f>B17+B20</f>
        <v>0.72100000000000009</v>
      </c>
      <c r="C21" s="16">
        <f>C17+C20</f>
        <v>0.54478674097018343</v>
      </c>
      <c r="D21" s="16">
        <f t="shared" si="4"/>
        <v>0.17621325902981666</v>
      </c>
      <c r="E21" s="18">
        <f t="shared" si="5"/>
        <v>0.32345364851576108</v>
      </c>
      <c r="F21" s="2" t="s">
        <v>21</v>
      </c>
    </row>
    <row r="22" spans="1:6">
      <c r="A22" s="3"/>
      <c r="B22" s="16"/>
      <c r="C22" s="16"/>
      <c r="D22" s="16"/>
      <c r="E22" s="18"/>
      <c r="F22" s="2"/>
    </row>
    <row r="23" spans="1:6">
      <c r="A23" s="3" t="s">
        <v>71</v>
      </c>
      <c r="B23" s="16"/>
      <c r="C23" s="16"/>
      <c r="D23" s="16"/>
      <c r="E23" s="18"/>
      <c r="F23" s="2"/>
    </row>
    <row r="24" spans="1:6">
      <c r="A24" s="2" t="s">
        <v>42</v>
      </c>
      <c r="B24" s="16">
        <f>B5*(1+Inputs!$B$40)</f>
        <v>1.6719999999999999</v>
      </c>
      <c r="C24" s="16">
        <f>C5</f>
        <v>1.3640000000000001</v>
      </c>
      <c r="D24" s="16">
        <f t="shared" ref="D24:D27" si="6">B24-C24</f>
        <v>0.30799999999999983</v>
      </c>
      <c r="E24" s="18">
        <f t="shared" ref="E24:E26" si="7">B24/C24-1</f>
        <v>0.22580645161290303</v>
      </c>
      <c r="F24" s="2" t="s">
        <v>21</v>
      </c>
    </row>
    <row r="25" spans="1:6">
      <c r="A25" s="2" t="s">
        <v>72</v>
      </c>
      <c r="B25" s="16">
        <f>B24/(1+Inputs!$B$27)*(1-Inputs!$B$26)</f>
        <v>1.254</v>
      </c>
      <c r="C25" s="16">
        <f>C24/(1+Inputs!$B$27)*(1-Inputs!$B$26)</f>
        <v>1.0230000000000001</v>
      </c>
      <c r="D25" s="16">
        <f t="shared" si="6"/>
        <v>0.23099999999999987</v>
      </c>
      <c r="E25" s="18">
        <f t="shared" si="7"/>
        <v>0.22580645161290303</v>
      </c>
      <c r="F25" s="2" t="s">
        <v>21</v>
      </c>
    </row>
    <row r="26" spans="1:6">
      <c r="A26" s="2" t="s">
        <v>73</v>
      </c>
      <c r="B26" s="17">
        <f>B25-B21</f>
        <v>0.53299999999999992</v>
      </c>
      <c r="C26" s="17">
        <f>C25-C21</f>
        <v>0.47821325902981671</v>
      </c>
      <c r="D26" s="16">
        <f t="shared" si="6"/>
        <v>5.4786740970183212E-2</v>
      </c>
      <c r="E26" s="18">
        <f t="shared" si="7"/>
        <v>0.11456549967128216</v>
      </c>
      <c r="F26" s="2" t="s">
        <v>21</v>
      </c>
    </row>
    <row r="27" spans="1:6">
      <c r="A27" s="2" t="s">
        <v>74</v>
      </c>
      <c r="B27" s="18">
        <f>B26/B25</f>
        <v>0.42503987240829338</v>
      </c>
      <c r="C27" s="18">
        <f>C26/C25</f>
        <v>0.46746164128036816</v>
      </c>
      <c r="D27" s="18">
        <f t="shared" si="6"/>
        <v>-4.2421768872074772E-2</v>
      </c>
      <c r="E27" s="18"/>
      <c r="F27" s="2" t="s">
        <v>75</v>
      </c>
    </row>
    <row r="28" spans="1:6">
      <c r="A28" s="2"/>
      <c r="B28" s="16"/>
      <c r="C28" s="16"/>
      <c r="D28" s="16"/>
      <c r="E28" s="18"/>
      <c r="F28" s="2"/>
    </row>
    <row r="29" spans="1:6">
      <c r="A29" s="3" t="s">
        <v>76</v>
      </c>
      <c r="B29" s="16"/>
      <c r="C29" s="16"/>
      <c r="D29" s="16"/>
      <c r="E29" s="18"/>
      <c r="F29" s="2"/>
    </row>
    <row r="30" spans="1:6">
      <c r="A30" s="2" t="s">
        <v>77</v>
      </c>
      <c r="B30" s="19">
        <f>Inputs!$B$28</f>
        <v>20000</v>
      </c>
      <c r="C30" s="19">
        <f>Inputs!$B$28</f>
        <v>20000</v>
      </c>
      <c r="D30" s="19">
        <f t="shared" ref="D30:D36" si="8">B30-C30</f>
        <v>0</v>
      </c>
      <c r="E30" s="18">
        <f t="shared" ref="E30:E36" si="9">B30/C30-1</f>
        <v>0</v>
      </c>
      <c r="F30" s="2" t="s">
        <v>49</v>
      </c>
    </row>
    <row r="31" spans="1:6">
      <c r="A31" s="2" t="s">
        <v>78</v>
      </c>
      <c r="B31" s="19">
        <f>B25*B30</f>
        <v>25080</v>
      </c>
      <c r="C31" s="19">
        <f>C25*C30</f>
        <v>20460.000000000004</v>
      </c>
      <c r="D31" s="19">
        <f t="shared" si="8"/>
        <v>4619.9999999999964</v>
      </c>
      <c r="E31" s="18">
        <f t="shared" si="9"/>
        <v>0.22580645161290303</v>
      </c>
      <c r="F31" s="2" t="s">
        <v>51</v>
      </c>
    </row>
    <row r="32" spans="1:6">
      <c r="A32" s="2" t="s">
        <v>79</v>
      </c>
      <c r="B32" s="19">
        <f>B26*B30</f>
        <v>10659.999999999998</v>
      </c>
      <c r="C32" s="19">
        <f>C26*C30</f>
        <v>9564.2651805963342</v>
      </c>
      <c r="D32" s="19">
        <f t="shared" si="8"/>
        <v>1095.734819403664</v>
      </c>
      <c r="E32" s="18">
        <f t="shared" si="9"/>
        <v>0.11456549967128216</v>
      </c>
      <c r="F32" s="2" t="s">
        <v>51</v>
      </c>
    </row>
    <row r="33" spans="1:6">
      <c r="A33" s="2" t="s">
        <v>50</v>
      </c>
      <c r="B33" s="20">
        <f>Inputs!$B$29</f>
        <v>7000</v>
      </c>
      <c r="C33" s="20">
        <f>B33/(1+Inputs!$B$37)</f>
        <v>5646.8401486988841</v>
      </c>
      <c r="D33" s="19">
        <f t="shared" si="8"/>
        <v>1353.1598513011159</v>
      </c>
      <c r="E33" s="18">
        <f t="shared" si="9"/>
        <v>0.23963133640553003</v>
      </c>
      <c r="F33" s="2" t="s">
        <v>51</v>
      </c>
    </row>
    <row r="34" spans="1:6">
      <c r="A34" s="3" t="s">
        <v>80</v>
      </c>
      <c r="B34" s="19">
        <f>B32-B33</f>
        <v>3659.9999999999982</v>
      </c>
      <c r="C34" s="19">
        <f>C32-C33</f>
        <v>3917.42503189745</v>
      </c>
      <c r="D34" s="19">
        <f t="shared" si="8"/>
        <v>-257.42503189745184</v>
      </c>
      <c r="E34" s="18">
        <f t="shared" si="9"/>
        <v>-6.5712816403984853E-2</v>
      </c>
      <c r="F34" s="2" t="s">
        <v>51</v>
      </c>
    </row>
    <row r="35" spans="1:6">
      <c r="A35" s="2" t="s">
        <v>81</v>
      </c>
      <c r="B35" s="18">
        <f>B34/B31</f>
        <v>0.14593301435406691</v>
      </c>
      <c r="C35" s="18">
        <f>C34/C31</f>
        <v>0.19146749911522234</v>
      </c>
      <c r="D35" s="18">
        <f t="shared" si="8"/>
        <v>-4.553448476115543E-2</v>
      </c>
      <c r="E35" s="18"/>
      <c r="F35" s="2" t="s">
        <v>82</v>
      </c>
    </row>
    <row r="36" spans="1:6">
      <c r="A36" s="2" t="s">
        <v>83</v>
      </c>
      <c r="B36" s="19">
        <f>B33/B26</f>
        <v>13133.208255159476</v>
      </c>
      <c r="C36" s="19">
        <f>C33/C26</f>
        <v>11808.204900372288</v>
      </c>
      <c r="D36" s="19">
        <f t="shared" si="8"/>
        <v>1325.0033547871881</v>
      </c>
      <c r="E36" s="18">
        <f t="shared" si="9"/>
        <v>0.11221039658156795</v>
      </c>
      <c r="F36" s="2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F08FC-59A6-4FB7-BD40-19B1A6C3493E}">
  <dimension ref="A1:H22"/>
  <sheetViews>
    <sheetView tabSelected="1" topLeftCell="A3" workbookViewId="0">
      <selection activeCell="I7" sqref="I7"/>
    </sheetView>
  </sheetViews>
  <sheetFormatPr defaultRowHeight="14.4"/>
  <cols>
    <col min="1" max="1" width="49.734375" bestFit="1" customWidth="1"/>
    <col min="2" max="2" width="13.26171875" bestFit="1" customWidth="1"/>
  </cols>
  <sheetData>
    <row r="1" spans="1:8">
      <c r="A1" s="12" t="s">
        <v>112</v>
      </c>
    </row>
    <row r="2" spans="1:8" ht="28.8">
      <c r="A2" s="23" t="s">
        <v>113</v>
      </c>
    </row>
    <row r="4" spans="1:8" s="12" customFormat="1">
      <c r="A4" s="12" t="s">
        <v>114</v>
      </c>
      <c r="C4" s="24">
        <v>0</v>
      </c>
      <c r="D4" s="25">
        <v>0.02</v>
      </c>
      <c r="E4" s="25">
        <v>0.04</v>
      </c>
      <c r="F4" s="25">
        <v>0.06</v>
      </c>
      <c r="G4" s="25">
        <v>0.08</v>
      </c>
      <c r="H4" s="25">
        <v>0.1</v>
      </c>
    </row>
    <row r="5" spans="1:8">
      <c r="A5" t="s">
        <v>42</v>
      </c>
      <c r="C5" s="16">
        <f>Calculations!$B$5*(1+C4)</f>
        <v>1.6719999999999999</v>
      </c>
      <c r="D5" s="16">
        <f>Calculations!$B$5*(1+D4)</f>
        <v>1.7054400000000001</v>
      </c>
      <c r="E5" s="16">
        <f>Calculations!$B$5*(1+E4)</f>
        <v>1.73888</v>
      </c>
      <c r="F5" s="16">
        <f>Calculations!$B$5*(1+F4)</f>
        <v>1.7723200000000001</v>
      </c>
      <c r="G5" s="16">
        <f>Calculations!$B$5*(1+G4)</f>
        <v>1.80576</v>
      </c>
      <c r="H5" s="16">
        <f>Calculations!$B$5*(1+H4)</f>
        <v>1.8392000000000002</v>
      </c>
    </row>
    <row r="6" spans="1:8">
      <c r="A6" t="s">
        <v>115</v>
      </c>
      <c r="C6" s="16">
        <f>C5/(1+Inputs!$B$27)*(1-Inputs!$B$26)</f>
        <v>1.254</v>
      </c>
      <c r="D6" s="16">
        <f>D5/(1+Inputs!$B$27)*(1-Inputs!$B$26)</f>
        <v>1.27908</v>
      </c>
      <c r="E6" s="16">
        <f>E5/(1+Inputs!$B$27)*(1-Inputs!$B$26)</f>
        <v>1.30416</v>
      </c>
      <c r="F6" s="16">
        <f>F5/(1+Inputs!$B$27)*(1-Inputs!$B$26)</f>
        <v>1.32924</v>
      </c>
      <c r="G6" s="16">
        <f>G5/(1+Inputs!$B$27)*(1-Inputs!$B$26)</f>
        <v>1.35432</v>
      </c>
      <c r="H6" s="16">
        <f>H5/(1+Inputs!$B$27)*(1-Inputs!$B$26)</f>
        <v>1.3794000000000002</v>
      </c>
    </row>
    <row r="8" spans="1:8">
      <c r="A8" s="12" t="s">
        <v>116</v>
      </c>
      <c r="B8" s="12" t="s">
        <v>117</v>
      </c>
    </row>
    <row r="9" spans="1:8">
      <c r="B9" s="26">
        <v>0</v>
      </c>
      <c r="C9" s="19">
        <f>Inputs!$B$28*(C$6-Calculations!$B$21*(1+$B9))-Calculations!$B$33*(1+$B9)</f>
        <v>3659.9999999999982</v>
      </c>
      <c r="D9" s="19">
        <f>Inputs!$B$28*(D$6-Calculations!$B$21*(1+$B9))-Calculations!$B$33*(1+$B9)</f>
        <v>4161.5999999999985</v>
      </c>
      <c r="E9" s="19">
        <f>Inputs!$B$28*(E$6-Calculations!$B$21*(1+$B9))-Calculations!$B$33*(1+$B9)</f>
        <v>4663.1999999999989</v>
      </c>
      <c r="F9" s="19">
        <f>Inputs!$B$28*(F$6-Calculations!$B$21*(1+$B9))-Calculations!$B$33*(1+$B9)</f>
        <v>5164.7999999999975</v>
      </c>
      <c r="G9" s="19">
        <f>Inputs!$B$28*(G$6-Calculations!$B$21*(1+$B9))-Calculations!$B$33*(1+$B9)</f>
        <v>5666.3999999999978</v>
      </c>
      <c r="H9" s="19">
        <f>Inputs!$B$28*(H$6-Calculations!$B$21*(1+$B9))-Calculations!$B$33*(1+$B9)</f>
        <v>6168.0000000000018</v>
      </c>
    </row>
    <row r="10" spans="1:8">
      <c r="B10" s="18">
        <v>2.5000000000000001E-2</v>
      </c>
      <c r="C10" s="19">
        <f>Inputs!$B$28*(C$6-Calculations!$B$21*(1+$B10))-Calculations!$B$33*(1+$B10)</f>
        <v>3124.5000000000009</v>
      </c>
      <c r="D10" s="19">
        <f>Inputs!$B$28*(D$6-Calculations!$B$21*(1+$B10))-Calculations!$B$33*(1+$B10)</f>
        <v>3626.0999999999995</v>
      </c>
      <c r="E10" s="19">
        <f>Inputs!$B$28*(E$6-Calculations!$B$21*(1+$B10))-Calculations!$B$33*(1+$B10)</f>
        <v>4127.7</v>
      </c>
      <c r="F10" s="19">
        <f>Inputs!$B$28*(F$6-Calculations!$B$21*(1+$B10))-Calculations!$B$33*(1+$B10)</f>
        <v>4629.3</v>
      </c>
      <c r="G10" s="19">
        <f>Inputs!$B$28*(G$6-Calculations!$B$21*(1+$B10))-Calculations!$B$33*(1+$B10)</f>
        <v>5130.8999999999987</v>
      </c>
      <c r="H10" s="19">
        <f>Inputs!$B$28*(H$6-Calculations!$B$21*(1+$B10))-Calculations!$B$33*(1+$B10)</f>
        <v>5632.5000000000045</v>
      </c>
    </row>
    <row r="11" spans="1:8">
      <c r="B11" s="18">
        <v>0.05</v>
      </c>
      <c r="C11" s="19">
        <f>Inputs!$B$28*(C$6-Calculations!$B$21*(1+$B11))-Calculations!$B$33*(1+$B11)</f>
        <v>2588.9999999999982</v>
      </c>
      <c r="D11" s="19">
        <f>Inputs!$B$28*(D$6-Calculations!$B$21*(1+$B11))-Calculations!$B$33*(1+$B11)</f>
        <v>3090.5999999999985</v>
      </c>
      <c r="E11" s="19">
        <f>Inputs!$B$28*(E$6-Calculations!$B$21*(1+$B11))-Calculations!$B$33*(1+$B11)</f>
        <v>3592.1999999999971</v>
      </c>
      <c r="F11" s="19">
        <f>Inputs!$B$28*(F$6-Calculations!$B$21*(1+$B11))-Calculations!$B$33*(1+$B11)</f>
        <v>4093.7999999999975</v>
      </c>
      <c r="G11" s="19">
        <f>Inputs!$B$28*(G$6-Calculations!$B$21*(1+$B11))-Calculations!$B$33*(1+$B11)</f>
        <v>4595.3999999999978</v>
      </c>
      <c r="H11" s="19">
        <f>Inputs!$B$28*(H$6-Calculations!$B$21*(1+$B11))-Calculations!$B$33*(1+$B11)</f>
        <v>5097.0000000000018</v>
      </c>
    </row>
    <row r="12" spans="1:8">
      <c r="B12" s="18">
        <v>7.4999999999999997E-2</v>
      </c>
      <c r="C12" s="19">
        <f>Inputs!$B$28*(C$6-Calculations!$B$21*(1+$B12))-Calculations!$B$33*(1+$B12)</f>
        <v>2053.4999999999982</v>
      </c>
      <c r="D12" s="19">
        <f>Inputs!$B$28*(D$6-Calculations!$B$21*(1+$B12))-Calculations!$B$33*(1+$B12)</f>
        <v>2555.0999999999985</v>
      </c>
      <c r="E12" s="19">
        <f>Inputs!$B$28*(E$6-Calculations!$B$21*(1+$B12))-Calculations!$B$33*(1+$B12)</f>
        <v>3056.6999999999989</v>
      </c>
      <c r="F12" s="19">
        <f>Inputs!$B$28*(F$6-Calculations!$B$21*(1+$B12))-Calculations!$B$33*(1+$B12)</f>
        <v>3558.2999999999975</v>
      </c>
      <c r="G12" s="19">
        <f>Inputs!$B$28*(G$6-Calculations!$B$21*(1+$B12))-Calculations!$B$33*(1+$B12)</f>
        <v>4059.8999999999978</v>
      </c>
      <c r="H12" s="19">
        <f>Inputs!$B$28*(H$6-Calculations!$B$21*(1+$B12))-Calculations!$B$33*(1+$B12)</f>
        <v>4561.5000000000018</v>
      </c>
    </row>
    <row r="13" spans="1:8">
      <c r="B13" s="18">
        <v>0.1</v>
      </c>
      <c r="C13" s="19">
        <f>Inputs!$B$28*(C$6-Calculations!$B$21*(1+$B13))-Calculations!$B$33*(1+$B13)</f>
        <v>1517.9999999999973</v>
      </c>
      <c r="D13" s="19">
        <f>Inputs!$B$28*(D$6-Calculations!$B$21*(1+$B13))-Calculations!$B$33*(1+$B13)</f>
        <v>2019.5999999999958</v>
      </c>
      <c r="E13" s="19">
        <f>Inputs!$B$28*(E$6-Calculations!$B$21*(1+$B13))-Calculations!$B$33*(1+$B13)</f>
        <v>2521.1999999999962</v>
      </c>
      <c r="F13" s="19">
        <f>Inputs!$B$28*(F$6-Calculations!$B$21*(1+$B13))-Calculations!$B$33*(1+$B13)</f>
        <v>3022.7999999999965</v>
      </c>
      <c r="G13" s="19">
        <f>Inputs!$B$28*(G$6-Calculations!$B$21*(1+$B13))-Calculations!$B$33*(1+$B13)</f>
        <v>3524.3999999999951</v>
      </c>
      <c r="H13" s="19">
        <f>Inputs!$B$28*(H$6-Calculations!$B$21*(1+$B13))-Calculations!$B$33*(1+$B13)</f>
        <v>4025.9999999999991</v>
      </c>
    </row>
    <row r="15" spans="1:8">
      <c r="A15" s="12" t="s">
        <v>81</v>
      </c>
      <c r="B15" s="12" t="s">
        <v>117</v>
      </c>
    </row>
    <row r="16" spans="1:8">
      <c r="B16" s="18">
        <f>B9</f>
        <v>0</v>
      </c>
      <c r="C16" s="18">
        <f>C9/(Inputs!$B$28*C$6)</f>
        <v>0.14593301435406691</v>
      </c>
      <c r="D16" s="18">
        <f>D9/(Inputs!$B$28*D$6)</f>
        <v>0.16267942583732053</v>
      </c>
      <c r="E16" s="18">
        <f>E9/(Inputs!$B$28*E$6)</f>
        <v>0.1787817445712182</v>
      </c>
      <c r="F16" s="18">
        <f>F9/(Inputs!$B$28*F$6)</f>
        <v>0.19427642863591216</v>
      </c>
      <c r="G16" s="18">
        <f>G9/(Inputs!$B$28*G$6)</f>
        <v>0.20919723551302491</v>
      </c>
      <c r="H16" s="18">
        <f>H9/(Inputs!$B$28*H$6)</f>
        <v>0.22357546759460639</v>
      </c>
    </row>
    <row r="17" spans="1:8">
      <c r="B17" s="18">
        <f t="shared" ref="B17:B20" si="0">B10</f>
        <v>2.5000000000000001E-2</v>
      </c>
      <c r="C17" s="18">
        <f>C10/(Inputs!$B$28*C$6)</f>
        <v>0.1245813397129187</v>
      </c>
      <c r="D17" s="18">
        <f>D10/(Inputs!$B$28*D$6)</f>
        <v>0.14174641148325356</v>
      </c>
      <c r="E17" s="18">
        <f>E10/(Inputs!$B$28*E$6)</f>
        <v>0.15825128818549869</v>
      </c>
      <c r="F17" s="18">
        <f>F10/(Inputs!$B$28*F$6)</f>
        <v>0.17413333935181008</v>
      </c>
      <c r="G17" s="18">
        <f>G10/(Inputs!$B$28*G$6)</f>
        <v>0.18942716640085058</v>
      </c>
      <c r="H17" s="18">
        <f>H10/(Inputs!$B$28*H$6)</f>
        <v>0.20416485428447165</v>
      </c>
    </row>
    <row r="18" spans="1:8">
      <c r="B18" s="18">
        <f t="shared" si="0"/>
        <v>0.05</v>
      </c>
      <c r="C18" s="18">
        <f>C11/(Inputs!$B$28*C$6)</f>
        <v>0.10322966507177027</v>
      </c>
      <c r="D18" s="18">
        <f>D11/(Inputs!$B$28*D$6)</f>
        <v>0.12081339712918655</v>
      </c>
      <c r="E18" s="18">
        <f>E11/(Inputs!$B$28*E$6)</f>
        <v>0.13772083179977906</v>
      </c>
      <c r="F18" s="18">
        <f>F11/(Inputs!$B$28*F$6)</f>
        <v>0.15399025006770778</v>
      </c>
      <c r="G18" s="18">
        <f>G11/(Inputs!$B$28*G$6)</f>
        <v>0.16965709728867617</v>
      </c>
      <c r="H18" s="18">
        <f>H11/(Inputs!$B$28*H$6)</f>
        <v>0.18475424097433671</v>
      </c>
    </row>
    <row r="19" spans="1:8">
      <c r="B19" s="18">
        <f t="shared" si="0"/>
        <v>7.4999999999999997E-2</v>
      </c>
      <c r="C19" s="18">
        <f>C12/(Inputs!$B$28*C$6)</f>
        <v>8.1877990430621939E-2</v>
      </c>
      <c r="D19" s="18">
        <f>D12/(Inputs!$B$28*D$6)</f>
        <v>9.9880382775119569E-2</v>
      </c>
      <c r="E19" s="18">
        <f>E12/(Inputs!$B$28*E$6)</f>
        <v>0.11719037541405958</v>
      </c>
      <c r="F19" s="18">
        <f>F12/(Inputs!$B$28*F$6)</f>
        <v>0.13384716078360559</v>
      </c>
      <c r="G19" s="18">
        <f>G12/(Inputs!$B$28*G$6)</f>
        <v>0.14988702817650179</v>
      </c>
      <c r="H19" s="18">
        <f>H12/(Inputs!$B$28*H$6)</f>
        <v>0.16534362766420188</v>
      </c>
    </row>
    <row r="20" spans="1:8">
      <c r="B20" s="18">
        <f t="shared" si="0"/>
        <v>0.1</v>
      </c>
      <c r="C20" s="18">
        <f>C13/(Inputs!$B$28*C$6)</f>
        <v>6.0526315789473574E-2</v>
      </c>
      <c r="D20" s="18">
        <f>D13/(Inputs!$B$28*D$6)</f>
        <v>7.8947368421052475E-2</v>
      </c>
      <c r="E20" s="18">
        <f>E13/(Inputs!$B$28*E$6)</f>
        <v>9.6659919028339938E-2</v>
      </c>
      <c r="F20" s="18">
        <f>F13/(Inputs!$B$28*F$6)</f>
        <v>0.11370407149950335</v>
      </c>
      <c r="G20" s="18">
        <f>G13/(Inputs!$B$28*G$6)</f>
        <v>0.13011695906432733</v>
      </c>
      <c r="H20" s="18">
        <f>H13/(Inputs!$B$28*H$6)</f>
        <v>0.14593301435406694</v>
      </c>
    </row>
    <row r="22" spans="1:8">
      <c r="A22" t="s">
        <v>118</v>
      </c>
      <c r="B22" s="18">
        <f>Calculations!C35</f>
        <v>0.19146749911522234</v>
      </c>
    </row>
  </sheetData>
  <conditionalFormatting sqref="C9:H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6:H20">
    <cfRule type="cellIs" dxfId="2" priority="2" operator="greaterThan">
      <formula>$B$22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369B-C55C-4B44-B5C1-57B36F1B4A8A}">
  <dimension ref="A1:F178"/>
  <sheetViews>
    <sheetView workbookViewId="0">
      <selection activeCell="I9" sqref="I9"/>
    </sheetView>
  </sheetViews>
  <sheetFormatPr defaultRowHeight="14.4"/>
  <cols>
    <col min="1" max="1" width="9.9453125" bestFit="1" customWidth="1"/>
    <col min="2" max="2" width="10.20703125" bestFit="1" customWidth="1"/>
    <col min="3" max="3" width="10.578125" bestFit="1" customWidth="1"/>
    <col min="4" max="4" width="8.5234375" bestFit="1" customWidth="1"/>
    <col min="5" max="5" width="9.83984375" bestFit="1" customWidth="1"/>
    <col min="6" max="6" width="10.6289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40909</v>
      </c>
      <c r="B2">
        <v>2.13</v>
      </c>
      <c r="C2">
        <v>1.276</v>
      </c>
      <c r="D2">
        <v>1.778</v>
      </c>
      <c r="E2">
        <v>2.7690000000000001</v>
      </c>
      <c r="F2">
        <v>1.2989999999999999</v>
      </c>
    </row>
    <row r="3" spans="1:6">
      <c r="A3" s="1">
        <v>40940</v>
      </c>
      <c r="B3">
        <v>2.1459999999999999</v>
      </c>
      <c r="C3">
        <v>1.2749999999999999</v>
      </c>
      <c r="D3">
        <v>1.7749999999999999</v>
      </c>
      <c r="E3">
        <v>2.7709999999999999</v>
      </c>
      <c r="F3">
        <v>1.337</v>
      </c>
    </row>
    <row r="4" spans="1:6">
      <c r="A4" s="1">
        <v>40969</v>
      </c>
      <c r="B4">
        <v>2.14</v>
      </c>
      <c r="C4">
        <v>1.2809999999999999</v>
      </c>
      <c r="D4">
        <v>1.774</v>
      </c>
      <c r="E4">
        <v>2.7690000000000001</v>
      </c>
      <c r="F4">
        <v>1.341</v>
      </c>
    </row>
    <row r="5" spans="1:6">
      <c r="A5" s="1">
        <v>41000</v>
      </c>
      <c r="B5">
        <v>2.1320000000000001</v>
      </c>
      <c r="C5">
        <v>1.2909999999999999</v>
      </c>
      <c r="D5">
        <v>1.7709999999999999</v>
      </c>
      <c r="E5">
        <v>2.7679999999999998</v>
      </c>
      <c r="F5">
        <v>1.343</v>
      </c>
    </row>
    <row r="6" spans="1:6">
      <c r="A6" s="1">
        <v>41030</v>
      </c>
      <c r="B6">
        <v>2.1320000000000001</v>
      </c>
      <c r="C6">
        <v>1.306</v>
      </c>
      <c r="D6">
        <v>1.7729999999999999</v>
      </c>
      <c r="E6">
        <v>2.778</v>
      </c>
      <c r="F6">
        <v>1.3420000000000001</v>
      </c>
    </row>
    <row r="7" spans="1:6">
      <c r="A7" s="1">
        <v>41061</v>
      </c>
      <c r="B7">
        <v>2.1320000000000001</v>
      </c>
      <c r="C7">
        <v>1.2989999999999999</v>
      </c>
      <c r="D7">
        <v>1.772</v>
      </c>
      <c r="E7">
        <v>2.7850000000000001</v>
      </c>
      <c r="F7">
        <v>1.335</v>
      </c>
    </row>
    <row r="8" spans="1:6">
      <c r="A8" s="1">
        <v>41091</v>
      </c>
      <c r="B8">
        <v>2.129</v>
      </c>
      <c r="C8">
        <v>1.2789999999999999</v>
      </c>
      <c r="D8">
        <v>1.774</v>
      </c>
      <c r="E8">
        <v>2.7679999999999998</v>
      </c>
      <c r="F8">
        <v>1.3360000000000001</v>
      </c>
    </row>
    <row r="9" spans="1:6">
      <c r="A9" s="1">
        <v>41122</v>
      </c>
      <c r="B9">
        <v>2.1309999999999998</v>
      </c>
      <c r="C9">
        <v>1.2689999999999999</v>
      </c>
      <c r="D9">
        <v>1.774</v>
      </c>
      <c r="E9">
        <v>2.7349999999999999</v>
      </c>
      <c r="F9">
        <v>1.34</v>
      </c>
    </row>
    <row r="10" spans="1:6">
      <c r="A10" s="1">
        <v>41153</v>
      </c>
      <c r="B10">
        <v>2.1829999999999998</v>
      </c>
      <c r="C10">
        <v>1.2649999999999999</v>
      </c>
      <c r="D10">
        <v>1.768</v>
      </c>
      <c r="E10">
        <v>2.6110000000000002</v>
      </c>
      <c r="F10">
        <v>1.3420000000000001</v>
      </c>
    </row>
    <row r="11" spans="1:6">
      <c r="A11" s="1">
        <v>41183</v>
      </c>
      <c r="B11">
        <v>2.2639999999999998</v>
      </c>
      <c r="C11">
        <v>1.2909999999999999</v>
      </c>
      <c r="D11">
        <v>1.768</v>
      </c>
      <c r="E11">
        <v>2.73</v>
      </c>
      <c r="F11">
        <v>1.345</v>
      </c>
    </row>
    <row r="12" spans="1:6">
      <c r="A12" s="1">
        <v>41214</v>
      </c>
      <c r="B12">
        <v>2.3180000000000001</v>
      </c>
      <c r="C12">
        <v>1.28</v>
      </c>
      <c r="D12">
        <v>1.77</v>
      </c>
      <c r="E12">
        <v>2.7320000000000002</v>
      </c>
      <c r="F12">
        <v>1.345</v>
      </c>
    </row>
    <row r="13" spans="1:6">
      <c r="A13" s="1">
        <v>41244</v>
      </c>
      <c r="B13">
        <v>2.3290000000000002</v>
      </c>
      <c r="C13">
        <v>1.323</v>
      </c>
      <c r="D13">
        <v>1.77</v>
      </c>
      <c r="E13">
        <v>2.7530000000000001</v>
      </c>
      <c r="F13">
        <v>1.34</v>
      </c>
    </row>
    <row r="14" spans="1:6">
      <c r="A14" s="1">
        <v>41275</v>
      </c>
      <c r="B14">
        <v>2.343</v>
      </c>
      <c r="C14">
        <v>1.2969999999999999</v>
      </c>
      <c r="D14">
        <v>1.77</v>
      </c>
      <c r="E14">
        <v>2.75</v>
      </c>
      <c r="F14">
        <v>1.343</v>
      </c>
    </row>
    <row r="15" spans="1:6">
      <c r="A15" s="1">
        <v>41306</v>
      </c>
      <c r="B15">
        <v>2.3740000000000001</v>
      </c>
      <c r="C15">
        <v>1.3149999999999999</v>
      </c>
      <c r="D15">
        <v>1.7689999999999999</v>
      </c>
      <c r="E15">
        <v>2.734</v>
      </c>
      <c r="F15">
        <v>1.3420000000000001</v>
      </c>
    </row>
    <row r="16" spans="1:6">
      <c r="A16" s="1">
        <v>41334</v>
      </c>
      <c r="B16">
        <v>2.371</v>
      </c>
      <c r="C16">
        <v>1.3320000000000001</v>
      </c>
      <c r="D16">
        <v>1.772</v>
      </c>
      <c r="E16">
        <v>2.7170000000000001</v>
      </c>
      <c r="F16">
        <v>1.343</v>
      </c>
    </row>
    <row r="17" spans="1:6">
      <c r="A17" s="1">
        <v>41365</v>
      </c>
      <c r="B17">
        <v>2.363</v>
      </c>
      <c r="C17">
        <v>1.32</v>
      </c>
      <c r="D17">
        <v>1.772</v>
      </c>
      <c r="E17">
        <v>2.7410000000000001</v>
      </c>
      <c r="F17">
        <v>1.3420000000000001</v>
      </c>
    </row>
    <row r="18" spans="1:6">
      <c r="A18" s="1">
        <v>41395</v>
      </c>
      <c r="B18">
        <v>2.36</v>
      </c>
      <c r="C18">
        <v>1.302</v>
      </c>
      <c r="D18">
        <v>1.7669999999999999</v>
      </c>
      <c r="E18">
        <v>2.718</v>
      </c>
      <c r="F18">
        <v>1.3440000000000001</v>
      </c>
    </row>
    <row r="19" spans="1:6">
      <c r="A19" s="1">
        <v>41426</v>
      </c>
      <c r="B19">
        <v>2.363</v>
      </c>
      <c r="C19">
        <v>1.298</v>
      </c>
      <c r="D19">
        <v>1.8620000000000001</v>
      </c>
      <c r="E19">
        <v>2.742</v>
      </c>
      <c r="F19">
        <v>1.345</v>
      </c>
    </row>
    <row r="20" spans="1:6">
      <c r="A20" s="1">
        <v>41456</v>
      </c>
      <c r="B20">
        <v>2.3370000000000002</v>
      </c>
      <c r="C20">
        <v>1.3080000000000001</v>
      </c>
      <c r="D20">
        <v>1.859</v>
      </c>
      <c r="E20">
        <v>2.7389999999999999</v>
      </c>
      <c r="F20">
        <v>1.345</v>
      </c>
    </row>
    <row r="21" spans="1:6">
      <c r="A21" s="1">
        <v>41487</v>
      </c>
      <c r="B21">
        <v>2.37</v>
      </c>
      <c r="C21">
        <v>1.3080000000000001</v>
      </c>
      <c r="D21">
        <v>1.833</v>
      </c>
      <c r="E21">
        <v>2.742</v>
      </c>
      <c r="F21">
        <v>1.337</v>
      </c>
    </row>
    <row r="22" spans="1:6">
      <c r="A22" s="1">
        <v>41518</v>
      </c>
      <c r="B22">
        <v>2.3879999999999999</v>
      </c>
      <c r="C22">
        <v>1.3129999999999999</v>
      </c>
      <c r="D22">
        <v>1.835</v>
      </c>
      <c r="E22">
        <v>2.7839999999999998</v>
      </c>
      <c r="F22">
        <v>1.343</v>
      </c>
    </row>
    <row r="23" spans="1:6">
      <c r="A23" s="1">
        <v>41548</v>
      </c>
      <c r="B23">
        <v>2.25</v>
      </c>
      <c r="C23">
        <v>1.304</v>
      </c>
      <c r="D23">
        <v>1.8320000000000001</v>
      </c>
      <c r="E23">
        <v>2.7829999999999999</v>
      </c>
      <c r="F23">
        <v>1.3420000000000001</v>
      </c>
    </row>
    <row r="24" spans="1:6">
      <c r="A24" s="1">
        <v>41579</v>
      </c>
      <c r="B24">
        <v>2.2120000000000002</v>
      </c>
      <c r="C24">
        <v>1.3089999999999999</v>
      </c>
      <c r="D24">
        <v>1.784</v>
      </c>
      <c r="E24">
        <v>2.7850000000000001</v>
      </c>
      <c r="F24">
        <v>1.34</v>
      </c>
    </row>
    <row r="25" spans="1:6">
      <c r="A25" s="1">
        <v>41609</v>
      </c>
      <c r="B25">
        <v>2.286</v>
      </c>
      <c r="C25">
        <v>1.2989999999999999</v>
      </c>
      <c r="D25">
        <v>1.7669999999999999</v>
      </c>
      <c r="E25">
        <v>2.7829999999999999</v>
      </c>
      <c r="F25">
        <v>1.343</v>
      </c>
    </row>
    <row r="26" spans="1:6">
      <c r="A26" s="1">
        <v>41640</v>
      </c>
      <c r="B26">
        <v>2.3079999999999998</v>
      </c>
      <c r="C26">
        <v>1.2889999999999999</v>
      </c>
      <c r="D26">
        <v>1.7549999999999999</v>
      </c>
      <c r="E26">
        <v>2.7829999999999999</v>
      </c>
      <c r="F26">
        <v>1.337</v>
      </c>
    </row>
    <row r="27" spans="1:6">
      <c r="A27" s="1">
        <v>41671</v>
      </c>
      <c r="B27">
        <v>2.3380000000000001</v>
      </c>
      <c r="C27">
        <v>1.2989999999999999</v>
      </c>
      <c r="D27">
        <v>1.7509999999999999</v>
      </c>
      <c r="E27">
        <v>2.7970000000000002</v>
      </c>
      <c r="F27">
        <v>1.3480000000000001</v>
      </c>
    </row>
    <row r="28" spans="1:6">
      <c r="A28" s="1">
        <v>41699</v>
      </c>
      <c r="B28">
        <v>2.3140000000000001</v>
      </c>
      <c r="C28">
        <v>1.2849999999999999</v>
      </c>
      <c r="D28">
        <v>1.744</v>
      </c>
      <c r="E28">
        <v>2.7629999999999999</v>
      </c>
      <c r="F28">
        <v>1.345</v>
      </c>
    </row>
    <row r="29" spans="1:6">
      <c r="A29" s="1">
        <v>41730</v>
      </c>
      <c r="B29">
        <v>2.161</v>
      </c>
      <c r="C29">
        <v>1.296</v>
      </c>
      <c r="D29">
        <v>1.742</v>
      </c>
      <c r="E29">
        <v>2.7639999999999998</v>
      </c>
      <c r="F29">
        <v>1.339</v>
      </c>
    </row>
    <row r="30" spans="1:6">
      <c r="A30" s="1">
        <v>41760</v>
      </c>
      <c r="B30">
        <v>2.3210000000000002</v>
      </c>
      <c r="C30">
        <v>1.3029999999999999</v>
      </c>
      <c r="D30">
        <v>1.7410000000000001</v>
      </c>
      <c r="E30">
        <v>2.742</v>
      </c>
      <c r="F30">
        <v>1.3380000000000001</v>
      </c>
    </row>
    <row r="31" spans="1:6">
      <c r="A31" s="1">
        <v>41791</v>
      </c>
      <c r="B31">
        <v>2.2770000000000001</v>
      </c>
      <c r="C31">
        <v>1.3009999999999999</v>
      </c>
      <c r="D31">
        <v>1.742</v>
      </c>
      <c r="E31">
        <v>2.7480000000000002</v>
      </c>
      <c r="F31">
        <v>1.3280000000000001</v>
      </c>
    </row>
    <row r="32" spans="1:6">
      <c r="A32" s="1">
        <v>41821</v>
      </c>
      <c r="B32">
        <v>2.3479999999999999</v>
      </c>
      <c r="C32">
        <v>1.3149999999999999</v>
      </c>
      <c r="D32">
        <v>1.746</v>
      </c>
      <c r="E32">
        <v>2.762</v>
      </c>
      <c r="F32">
        <v>1.3260000000000001</v>
      </c>
    </row>
    <row r="33" spans="1:6">
      <c r="A33" s="1">
        <v>41852</v>
      </c>
      <c r="B33">
        <v>2.323</v>
      </c>
      <c r="C33">
        <v>1.2989999999999999</v>
      </c>
      <c r="D33">
        <v>1.738</v>
      </c>
      <c r="E33">
        <v>2.762</v>
      </c>
      <c r="F33">
        <v>1.3160000000000001</v>
      </c>
    </row>
    <row r="34" spans="1:6">
      <c r="A34" s="1">
        <v>41883</v>
      </c>
      <c r="B34">
        <v>2.3170000000000002</v>
      </c>
      <c r="C34">
        <v>1.2929999999999999</v>
      </c>
      <c r="D34">
        <v>1.7470000000000001</v>
      </c>
      <c r="E34">
        <v>2.7509999999999999</v>
      </c>
      <c r="F34">
        <v>1.327</v>
      </c>
    </row>
    <row r="35" spans="1:6">
      <c r="A35" s="1">
        <v>41913</v>
      </c>
      <c r="B35">
        <v>2.093</v>
      </c>
      <c r="C35">
        <v>1.3</v>
      </c>
      <c r="D35">
        <v>1.752</v>
      </c>
      <c r="E35">
        <v>2.7290000000000001</v>
      </c>
      <c r="F35">
        <v>1.3</v>
      </c>
    </row>
    <row r="36" spans="1:6">
      <c r="A36" s="1">
        <v>41944</v>
      </c>
      <c r="B36">
        <v>2.194</v>
      </c>
      <c r="C36">
        <v>1.2829999999999999</v>
      </c>
      <c r="D36">
        <v>1.75</v>
      </c>
      <c r="E36">
        <v>2.738</v>
      </c>
      <c r="F36">
        <v>1.3049999999999999</v>
      </c>
    </row>
    <row r="37" spans="1:6">
      <c r="A37" s="1">
        <v>41974</v>
      </c>
      <c r="B37">
        <v>2.1440000000000001</v>
      </c>
      <c r="C37">
        <v>1.2589999999999999</v>
      </c>
      <c r="D37">
        <v>1.732</v>
      </c>
      <c r="E37">
        <v>2.7269999999999999</v>
      </c>
      <c r="F37">
        <v>1.3109999999999999</v>
      </c>
    </row>
    <row r="38" spans="1:6">
      <c r="A38" s="1">
        <v>42005</v>
      </c>
      <c r="B38">
        <v>2.2879999999999998</v>
      </c>
      <c r="C38">
        <v>1.2609999999999999</v>
      </c>
      <c r="D38">
        <v>1.7270000000000001</v>
      </c>
      <c r="E38">
        <v>2.7269999999999999</v>
      </c>
      <c r="F38">
        <v>1.304</v>
      </c>
    </row>
    <row r="39" spans="1:6">
      <c r="A39" s="1">
        <v>42036</v>
      </c>
      <c r="B39">
        <v>2.2930000000000001</v>
      </c>
      <c r="C39">
        <v>1.2669999999999999</v>
      </c>
      <c r="D39">
        <v>1.728</v>
      </c>
      <c r="E39">
        <v>2.7160000000000002</v>
      </c>
      <c r="F39">
        <v>1.3009999999999999</v>
      </c>
    </row>
    <row r="40" spans="1:6">
      <c r="A40" s="1">
        <v>42064</v>
      </c>
      <c r="B40">
        <v>2.3130000000000002</v>
      </c>
      <c r="C40">
        <v>1.268</v>
      </c>
      <c r="D40">
        <v>1.7190000000000001</v>
      </c>
      <c r="E40">
        <v>2.7509999999999999</v>
      </c>
      <c r="F40">
        <v>1.29</v>
      </c>
    </row>
    <row r="41" spans="1:6">
      <c r="A41" s="1">
        <v>42095</v>
      </c>
      <c r="B41">
        <v>2.3210000000000002</v>
      </c>
      <c r="C41">
        <v>1.2649999999999999</v>
      </c>
      <c r="D41">
        <v>1.728</v>
      </c>
      <c r="E41">
        <v>2.7349999999999999</v>
      </c>
      <c r="F41">
        <v>1.2849999999999999</v>
      </c>
    </row>
    <row r="42" spans="1:6">
      <c r="A42" s="1">
        <v>42125</v>
      </c>
      <c r="B42">
        <v>2.2599999999999998</v>
      </c>
      <c r="C42">
        <v>1.26</v>
      </c>
      <c r="D42">
        <v>1.72</v>
      </c>
      <c r="E42">
        <v>2.7160000000000002</v>
      </c>
      <c r="F42">
        <v>1.2869999999999999</v>
      </c>
    </row>
    <row r="43" spans="1:6">
      <c r="A43" s="1">
        <v>42156</v>
      </c>
      <c r="B43">
        <v>2.387</v>
      </c>
      <c r="C43">
        <v>1.2529999999999999</v>
      </c>
      <c r="D43">
        <v>1.722</v>
      </c>
      <c r="E43">
        <v>2.7280000000000002</v>
      </c>
      <c r="F43">
        <v>1.276</v>
      </c>
    </row>
    <row r="44" spans="1:6">
      <c r="A44" s="1">
        <v>42186</v>
      </c>
      <c r="B44">
        <v>2.4180000000000001</v>
      </c>
      <c r="C44">
        <v>1.252</v>
      </c>
      <c r="D44">
        <v>1.7150000000000001</v>
      </c>
      <c r="E44">
        <v>2.73</v>
      </c>
      <c r="F44">
        <v>1.2789999999999999</v>
      </c>
    </row>
    <row r="45" spans="1:6">
      <c r="A45" s="1">
        <v>42217</v>
      </c>
      <c r="B45">
        <v>2.4249999999999998</v>
      </c>
      <c r="C45">
        <v>1.25</v>
      </c>
      <c r="D45">
        <v>1.716</v>
      </c>
      <c r="E45">
        <v>2.7250000000000001</v>
      </c>
      <c r="F45">
        <v>1.2809999999999999</v>
      </c>
    </row>
    <row r="46" spans="1:6">
      <c r="A46" s="1">
        <v>42248</v>
      </c>
      <c r="B46">
        <v>2.4089999999999998</v>
      </c>
      <c r="C46">
        <v>1.2529999999999999</v>
      </c>
      <c r="D46">
        <v>1.718</v>
      </c>
      <c r="E46">
        <v>2.7320000000000002</v>
      </c>
      <c r="F46">
        <v>1.28</v>
      </c>
    </row>
    <row r="47" spans="1:6">
      <c r="A47" s="1">
        <v>42278</v>
      </c>
      <c r="B47">
        <v>2.2789999999999999</v>
      </c>
      <c r="C47">
        <v>1.252</v>
      </c>
      <c r="D47">
        <v>1.718</v>
      </c>
      <c r="E47">
        <v>2.734</v>
      </c>
      <c r="F47">
        <v>1.28</v>
      </c>
    </row>
    <row r="48" spans="1:6">
      <c r="A48" s="1">
        <v>42309</v>
      </c>
      <c r="B48">
        <v>2.202</v>
      </c>
      <c r="C48">
        <v>1.2450000000000001</v>
      </c>
      <c r="D48">
        <v>1.716</v>
      </c>
      <c r="E48">
        <v>2.7189999999999999</v>
      </c>
      <c r="F48">
        <v>1.2809999999999999</v>
      </c>
    </row>
    <row r="49" spans="1:6">
      <c r="A49" s="1">
        <v>42339</v>
      </c>
      <c r="B49">
        <v>2.234</v>
      </c>
      <c r="C49">
        <v>1.2649999999999999</v>
      </c>
      <c r="D49">
        <v>1.72</v>
      </c>
      <c r="E49">
        <v>2.7250000000000001</v>
      </c>
      <c r="F49">
        <v>1.282</v>
      </c>
    </row>
    <row r="50" spans="1:6">
      <c r="A50" s="1">
        <v>42370</v>
      </c>
      <c r="B50">
        <v>2.3780000000000001</v>
      </c>
      <c r="C50">
        <v>1.2629999999999999</v>
      </c>
      <c r="D50">
        <v>1.714</v>
      </c>
      <c r="E50">
        <v>2.7269999999999999</v>
      </c>
      <c r="F50">
        <v>1.28</v>
      </c>
    </row>
    <row r="51" spans="1:6">
      <c r="A51" s="1">
        <v>42401</v>
      </c>
      <c r="B51">
        <v>2.3959999999999999</v>
      </c>
      <c r="C51">
        <v>1.272</v>
      </c>
      <c r="D51">
        <v>1.714</v>
      </c>
      <c r="E51">
        <v>2.72</v>
      </c>
      <c r="F51">
        <v>1.276</v>
      </c>
    </row>
    <row r="52" spans="1:6">
      <c r="A52" s="1">
        <v>42430</v>
      </c>
      <c r="B52">
        <v>2.2930000000000001</v>
      </c>
      <c r="C52">
        <v>1.27</v>
      </c>
      <c r="D52">
        <v>1.7130000000000001</v>
      </c>
      <c r="E52">
        <v>2.698</v>
      </c>
      <c r="F52">
        <v>1.2829999999999999</v>
      </c>
    </row>
    <row r="53" spans="1:6">
      <c r="A53" s="1">
        <v>42461</v>
      </c>
      <c r="B53">
        <v>2.41</v>
      </c>
      <c r="C53">
        <v>1.264</v>
      </c>
      <c r="D53">
        <v>1.712</v>
      </c>
      <c r="E53">
        <v>2.7</v>
      </c>
      <c r="F53">
        <v>1.2829999999999999</v>
      </c>
    </row>
    <row r="54" spans="1:6">
      <c r="A54" s="1">
        <v>42491</v>
      </c>
      <c r="B54">
        <v>2.3769999999999998</v>
      </c>
      <c r="C54">
        <v>1.266</v>
      </c>
      <c r="D54">
        <v>1.708</v>
      </c>
      <c r="E54">
        <v>2.6890000000000001</v>
      </c>
      <c r="F54">
        <v>1.284</v>
      </c>
    </row>
    <row r="55" spans="1:6">
      <c r="A55" s="1">
        <v>42522</v>
      </c>
      <c r="B55">
        <v>2.3479999999999999</v>
      </c>
      <c r="C55">
        <v>1.28</v>
      </c>
      <c r="D55">
        <v>1.7070000000000001</v>
      </c>
      <c r="E55">
        <v>2.6469999999999998</v>
      </c>
      <c r="F55">
        <v>1.2769999999999999</v>
      </c>
    </row>
    <row r="56" spans="1:6">
      <c r="A56" s="1">
        <v>42552</v>
      </c>
      <c r="B56">
        <v>2.4220000000000002</v>
      </c>
      <c r="C56">
        <v>1.2909999999999999</v>
      </c>
      <c r="D56">
        <v>1.7050000000000001</v>
      </c>
      <c r="E56">
        <v>2.661</v>
      </c>
      <c r="F56">
        <v>1.2829999999999999</v>
      </c>
    </row>
    <row r="57" spans="1:6">
      <c r="A57" s="1">
        <v>42583</v>
      </c>
      <c r="B57">
        <v>2.4239999999999999</v>
      </c>
      <c r="C57">
        <v>1.28</v>
      </c>
      <c r="D57">
        <v>1.7070000000000001</v>
      </c>
      <c r="E57">
        <v>2.6549999999999998</v>
      </c>
      <c r="F57">
        <v>1.2769999999999999</v>
      </c>
    </row>
    <row r="58" spans="1:6">
      <c r="A58" s="1">
        <v>42614</v>
      </c>
      <c r="B58">
        <v>2.3420000000000001</v>
      </c>
      <c r="C58">
        <v>1.282</v>
      </c>
      <c r="D58">
        <v>1.7</v>
      </c>
      <c r="E58">
        <v>2.6539999999999999</v>
      </c>
      <c r="F58">
        <v>1.2749999999999999</v>
      </c>
    </row>
    <row r="59" spans="1:6">
      <c r="A59" s="1">
        <v>42644</v>
      </c>
      <c r="B59">
        <v>2.2109999999999999</v>
      </c>
      <c r="C59">
        <v>1.2829999999999999</v>
      </c>
      <c r="D59">
        <v>1.6910000000000001</v>
      </c>
      <c r="E59">
        <v>2.653</v>
      </c>
      <c r="F59">
        <v>1.2729999999999999</v>
      </c>
    </row>
    <row r="60" spans="1:6">
      <c r="A60" s="1">
        <v>42675</v>
      </c>
      <c r="B60">
        <v>2.198</v>
      </c>
      <c r="C60">
        <v>1.2889999999999999</v>
      </c>
      <c r="D60">
        <v>1.6970000000000001</v>
      </c>
      <c r="E60">
        <v>2.6549999999999998</v>
      </c>
      <c r="F60">
        <v>1.264</v>
      </c>
    </row>
    <row r="61" spans="1:6">
      <c r="A61" s="1">
        <v>42705</v>
      </c>
      <c r="B61">
        <v>2.278</v>
      </c>
      <c r="C61">
        <v>1.2849999999999999</v>
      </c>
      <c r="D61">
        <v>1.6970000000000001</v>
      </c>
      <c r="E61">
        <v>2.6539999999999999</v>
      </c>
      <c r="F61">
        <v>1.2889999999999999</v>
      </c>
    </row>
    <row r="62" spans="1:6">
      <c r="A62" s="1">
        <v>42736</v>
      </c>
      <c r="B62">
        <v>2.4049999999999998</v>
      </c>
      <c r="C62">
        <v>1.278</v>
      </c>
      <c r="D62">
        <v>1.6950000000000001</v>
      </c>
      <c r="E62">
        <v>2.6579999999999999</v>
      </c>
      <c r="F62">
        <v>1.288</v>
      </c>
    </row>
    <row r="63" spans="1:6">
      <c r="A63" s="1">
        <v>42767</v>
      </c>
      <c r="B63">
        <v>2.4009999999999998</v>
      </c>
      <c r="C63">
        <v>1.272</v>
      </c>
      <c r="D63">
        <v>1.696</v>
      </c>
      <c r="E63">
        <v>2.65</v>
      </c>
      <c r="F63">
        <v>1.294</v>
      </c>
    </row>
    <row r="64" spans="1:6">
      <c r="A64" s="1">
        <v>42795</v>
      </c>
      <c r="B64">
        <v>2.3730000000000002</v>
      </c>
      <c r="C64">
        <v>1.2689999999999999</v>
      </c>
      <c r="D64">
        <v>1.698</v>
      </c>
      <c r="E64">
        <v>2.8130000000000002</v>
      </c>
      <c r="F64">
        <v>1.296</v>
      </c>
    </row>
    <row r="65" spans="1:6">
      <c r="A65" s="1">
        <v>42826</v>
      </c>
      <c r="B65">
        <v>2.2109999999999999</v>
      </c>
      <c r="C65">
        <v>1.278</v>
      </c>
      <c r="D65">
        <v>1.6990000000000001</v>
      </c>
      <c r="E65">
        <v>2.8479999999999999</v>
      </c>
      <c r="F65">
        <v>1.2969999999999999</v>
      </c>
    </row>
    <row r="66" spans="1:6">
      <c r="A66" s="1">
        <v>42856</v>
      </c>
      <c r="B66">
        <v>2.3479999999999999</v>
      </c>
      <c r="C66">
        <v>1.2649999999999999</v>
      </c>
      <c r="D66">
        <v>1.6919999999999999</v>
      </c>
      <c r="E66">
        <v>2.8519999999999999</v>
      </c>
      <c r="F66">
        <v>1.2949999999999999</v>
      </c>
    </row>
    <row r="67" spans="1:6">
      <c r="A67" s="1">
        <v>42887</v>
      </c>
      <c r="B67">
        <v>2.2189999999999999</v>
      </c>
      <c r="C67">
        <v>1.2589999999999999</v>
      </c>
      <c r="D67">
        <v>1.6890000000000001</v>
      </c>
      <c r="E67">
        <v>2.8559999999999999</v>
      </c>
      <c r="F67">
        <v>1.2989999999999999</v>
      </c>
    </row>
    <row r="68" spans="1:6">
      <c r="A68" s="1">
        <v>42917</v>
      </c>
      <c r="B68">
        <v>2.4009999999999998</v>
      </c>
      <c r="C68">
        <v>1.264</v>
      </c>
      <c r="D68">
        <v>1.694</v>
      </c>
      <c r="E68">
        <v>2.891</v>
      </c>
      <c r="F68">
        <v>1.304</v>
      </c>
    </row>
    <row r="69" spans="1:6">
      <c r="A69" s="1">
        <v>42948</v>
      </c>
      <c r="B69">
        <v>2.3860000000000001</v>
      </c>
      <c r="C69">
        <v>1.2709999999999999</v>
      </c>
      <c r="D69">
        <v>1.6950000000000001</v>
      </c>
      <c r="E69">
        <v>2.95</v>
      </c>
      <c r="F69">
        <v>1.3080000000000001</v>
      </c>
    </row>
    <row r="70" spans="1:6">
      <c r="A70" s="1">
        <v>42979</v>
      </c>
      <c r="B70">
        <v>2.2170000000000001</v>
      </c>
      <c r="C70">
        <v>1.2689999999999999</v>
      </c>
      <c r="D70">
        <v>1.6919999999999999</v>
      </c>
      <c r="E70">
        <v>2.9159999999999999</v>
      </c>
      <c r="F70">
        <v>1.3069999999999999</v>
      </c>
    </row>
    <row r="71" spans="1:6">
      <c r="A71" s="1">
        <v>43009</v>
      </c>
      <c r="B71">
        <v>2.1949999999999998</v>
      </c>
      <c r="C71">
        <v>1.278</v>
      </c>
      <c r="D71">
        <v>1.6890000000000001</v>
      </c>
      <c r="E71">
        <v>2.9670000000000001</v>
      </c>
      <c r="F71">
        <v>1.3049999999999999</v>
      </c>
    </row>
    <row r="72" spans="1:6">
      <c r="A72" s="1">
        <v>43040</v>
      </c>
      <c r="B72">
        <v>2.1640000000000001</v>
      </c>
      <c r="C72">
        <v>1.2569999999999999</v>
      </c>
      <c r="D72">
        <v>1.698</v>
      </c>
      <c r="E72">
        <v>2.9209999999999998</v>
      </c>
      <c r="F72">
        <v>1.3109999999999999</v>
      </c>
    </row>
    <row r="73" spans="1:6">
      <c r="A73" s="1">
        <v>43070</v>
      </c>
      <c r="B73">
        <v>2.21</v>
      </c>
      <c r="C73">
        <v>1.268</v>
      </c>
      <c r="D73">
        <v>1.7</v>
      </c>
      <c r="E73">
        <v>3.0139999999999998</v>
      </c>
      <c r="F73">
        <v>1.3049999999999999</v>
      </c>
    </row>
    <row r="74" spans="1:6">
      <c r="A74" s="1">
        <v>43101</v>
      </c>
      <c r="B74">
        <v>2.3380000000000001</v>
      </c>
      <c r="C74">
        <v>1.268</v>
      </c>
      <c r="D74">
        <v>1.7</v>
      </c>
      <c r="E74">
        <v>3.0049999999999999</v>
      </c>
      <c r="F74">
        <v>1.304</v>
      </c>
    </row>
    <row r="75" spans="1:6">
      <c r="A75" s="1">
        <v>43132</v>
      </c>
      <c r="B75">
        <v>2.323</v>
      </c>
      <c r="C75">
        <v>1.282</v>
      </c>
      <c r="D75">
        <v>1.708</v>
      </c>
      <c r="E75">
        <v>2.988</v>
      </c>
      <c r="F75">
        <v>1.2949999999999999</v>
      </c>
    </row>
    <row r="76" spans="1:6">
      <c r="A76" s="1">
        <v>43160</v>
      </c>
      <c r="B76">
        <v>2.2639999999999998</v>
      </c>
      <c r="C76">
        <v>1.3</v>
      </c>
      <c r="D76">
        <v>1.706</v>
      </c>
      <c r="E76">
        <v>3.01</v>
      </c>
      <c r="F76">
        <v>1.304</v>
      </c>
    </row>
    <row r="77" spans="1:6">
      <c r="A77" s="1">
        <v>43191</v>
      </c>
      <c r="B77">
        <v>2.29</v>
      </c>
      <c r="C77">
        <v>1.3029999999999999</v>
      </c>
      <c r="D77">
        <v>1.7070000000000001</v>
      </c>
      <c r="E77">
        <v>3.0030000000000001</v>
      </c>
      <c r="F77">
        <v>1.306</v>
      </c>
    </row>
    <row r="78" spans="1:6">
      <c r="A78" s="1">
        <v>43221</v>
      </c>
      <c r="B78">
        <v>2.2690000000000001</v>
      </c>
      <c r="C78">
        <v>1.2949999999999999</v>
      </c>
      <c r="D78">
        <v>1.704</v>
      </c>
      <c r="E78">
        <v>2.9969999999999999</v>
      </c>
      <c r="F78">
        <v>1.304</v>
      </c>
    </row>
    <row r="79" spans="1:6">
      <c r="A79" s="1">
        <v>43252</v>
      </c>
      <c r="B79">
        <v>2.3340000000000001</v>
      </c>
      <c r="C79">
        <v>1.282</v>
      </c>
      <c r="D79">
        <v>1.7010000000000001</v>
      </c>
      <c r="E79">
        <v>2.988</v>
      </c>
      <c r="F79">
        <v>1.304</v>
      </c>
    </row>
    <row r="80" spans="1:6">
      <c r="A80" s="1">
        <v>43282</v>
      </c>
      <c r="B80">
        <v>2.3290000000000002</v>
      </c>
      <c r="C80">
        <v>1.2829999999999999</v>
      </c>
      <c r="D80">
        <v>1.7</v>
      </c>
      <c r="E80">
        <v>3.1259999999999999</v>
      </c>
      <c r="F80">
        <v>1.3089999999999999</v>
      </c>
    </row>
    <row r="81" spans="1:6">
      <c r="A81" s="1">
        <v>43313</v>
      </c>
      <c r="B81">
        <v>2.3359999999999999</v>
      </c>
      <c r="C81">
        <v>1.29</v>
      </c>
      <c r="D81">
        <v>1.6990000000000001</v>
      </c>
      <c r="E81">
        <v>3.04</v>
      </c>
      <c r="F81">
        <v>1.3049999999999999</v>
      </c>
    </row>
    <row r="82" spans="1:6">
      <c r="A82" s="1">
        <v>43344</v>
      </c>
      <c r="B82">
        <v>2.2589999999999999</v>
      </c>
      <c r="C82">
        <v>1.2849999999999999</v>
      </c>
      <c r="D82">
        <v>1.7</v>
      </c>
      <c r="E82">
        <v>3.0190000000000001</v>
      </c>
      <c r="F82">
        <v>1.288</v>
      </c>
    </row>
    <row r="83" spans="1:6">
      <c r="A83" s="1">
        <v>43374</v>
      </c>
      <c r="B83">
        <v>2.149</v>
      </c>
      <c r="C83">
        <v>1.286</v>
      </c>
      <c r="D83">
        <v>1.6919999999999999</v>
      </c>
      <c r="E83">
        <v>3.0430000000000001</v>
      </c>
      <c r="F83">
        <v>1.236</v>
      </c>
    </row>
    <row r="84" spans="1:6">
      <c r="A84" s="1">
        <v>43405</v>
      </c>
      <c r="B84">
        <v>2.0190000000000001</v>
      </c>
      <c r="C84">
        <v>1.29</v>
      </c>
      <c r="D84">
        <v>1.6850000000000001</v>
      </c>
      <c r="E84">
        <v>3.0640000000000001</v>
      </c>
      <c r="F84">
        <v>1.216</v>
      </c>
    </row>
    <row r="85" spans="1:6">
      <c r="A85" s="1">
        <v>43435</v>
      </c>
      <c r="B85">
        <v>2.077</v>
      </c>
      <c r="C85">
        <v>1.2949999999999999</v>
      </c>
      <c r="D85">
        <v>1.6830000000000001</v>
      </c>
      <c r="E85">
        <v>3.052</v>
      </c>
      <c r="F85">
        <v>1.2130000000000001</v>
      </c>
    </row>
    <row r="86" spans="1:6">
      <c r="A86" s="1">
        <v>43466</v>
      </c>
      <c r="B86">
        <v>2.194</v>
      </c>
      <c r="C86">
        <v>1.278</v>
      </c>
      <c r="D86">
        <v>1.6779999999999999</v>
      </c>
      <c r="E86">
        <v>3.0739999999999998</v>
      </c>
      <c r="F86">
        <v>1.216</v>
      </c>
    </row>
    <row r="87" spans="1:6">
      <c r="A87" s="1">
        <v>43497</v>
      </c>
      <c r="B87">
        <v>2.2160000000000002</v>
      </c>
      <c r="C87">
        <v>1.3</v>
      </c>
      <c r="D87">
        <v>1.681</v>
      </c>
      <c r="E87">
        <v>3.0630000000000002</v>
      </c>
      <c r="F87">
        <v>1.2210000000000001</v>
      </c>
    </row>
    <row r="88" spans="1:6">
      <c r="A88" s="1">
        <v>43525</v>
      </c>
      <c r="B88">
        <v>2.1909999999999998</v>
      </c>
      <c r="C88">
        <v>1.296</v>
      </c>
      <c r="D88">
        <v>1.679</v>
      </c>
      <c r="E88">
        <v>3.0449999999999999</v>
      </c>
      <c r="F88">
        <v>1.214</v>
      </c>
    </row>
    <row r="89" spans="1:6">
      <c r="A89" s="1">
        <v>43556</v>
      </c>
      <c r="B89">
        <v>2.0649999999999999</v>
      </c>
      <c r="C89">
        <v>1.2989999999999999</v>
      </c>
      <c r="D89">
        <v>1.6850000000000001</v>
      </c>
      <c r="E89">
        <v>3.0470000000000002</v>
      </c>
      <c r="F89">
        <v>1.2130000000000001</v>
      </c>
    </row>
    <row r="90" spans="1:6">
      <c r="A90" s="1">
        <v>43586</v>
      </c>
      <c r="B90">
        <v>2.1819999999999999</v>
      </c>
      <c r="C90">
        <v>1.3029999999999999</v>
      </c>
      <c r="D90">
        <v>1.6850000000000001</v>
      </c>
      <c r="E90">
        <v>3.0409999999999999</v>
      </c>
      <c r="F90">
        <v>1.2170000000000001</v>
      </c>
    </row>
    <row r="91" spans="1:6">
      <c r="A91" s="1">
        <v>43617</v>
      </c>
      <c r="B91">
        <v>2.1819999999999999</v>
      </c>
      <c r="C91">
        <v>1.3009999999999999</v>
      </c>
      <c r="D91">
        <v>1.6830000000000001</v>
      </c>
      <c r="E91">
        <v>3.0369999999999999</v>
      </c>
      <c r="F91">
        <v>1.212</v>
      </c>
    </row>
    <row r="92" spans="1:6">
      <c r="A92" s="1">
        <v>43647</v>
      </c>
      <c r="B92">
        <v>2.181</v>
      </c>
      <c r="C92">
        <v>1.3069999999999999</v>
      </c>
      <c r="D92">
        <v>1.6839999999999999</v>
      </c>
      <c r="E92">
        <v>3.0409999999999999</v>
      </c>
      <c r="F92">
        <v>1.22</v>
      </c>
    </row>
    <row r="93" spans="1:6">
      <c r="A93" s="1">
        <v>43678</v>
      </c>
      <c r="B93">
        <v>2.16</v>
      </c>
      <c r="C93">
        <v>1.3120000000000001</v>
      </c>
      <c r="D93">
        <v>1.6890000000000001</v>
      </c>
      <c r="E93">
        <v>3.0339999999999998</v>
      </c>
      <c r="F93">
        <v>1.206</v>
      </c>
    </row>
    <row r="94" spans="1:6">
      <c r="A94" s="1">
        <v>43709</v>
      </c>
      <c r="B94">
        <v>2.0979999999999999</v>
      </c>
      <c r="C94">
        <v>1.288</v>
      </c>
      <c r="D94">
        <v>1.6839999999999999</v>
      </c>
      <c r="E94">
        <v>3.0139999999999998</v>
      </c>
      <c r="F94">
        <v>1.1890000000000001</v>
      </c>
    </row>
    <row r="95" spans="1:6">
      <c r="A95" s="1">
        <v>43739</v>
      </c>
      <c r="B95">
        <v>2.097</v>
      </c>
      <c r="C95">
        <v>1.292</v>
      </c>
      <c r="D95">
        <v>1.6890000000000001</v>
      </c>
      <c r="E95">
        <v>3.0179999999999998</v>
      </c>
      <c r="F95">
        <v>1.1919999999999999</v>
      </c>
    </row>
    <row r="96" spans="1:6">
      <c r="A96" s="1">
        <v>43770</v>
      </c>
      <c r="B96">
        <v>2.0529999999999999</v>
      </c>
      <c r="C96">
        <v>1.2889999999999999</v>
      </c>
      <c r="D96">
        <v>1.6890000000000001</v>
      </c>
      <c r="E96">
        <v>3.012</v>
      </c>
      <c r="F96">
        <v>1.177</v>
      </c>
    </row>
    <row r="97" spans="1:6">
      <c r="A97" s="1">
        <v>43800</v>
      </c>
      <c r="B97">
        <v>2.0539999999999998</v>
      </c>
      <c r="C97">
        <v>1.2969999999999999</v>
      </c>
      <c r="D97">
        <v>1.6879999999999999</v>
      </c>
      <c r="E97">
        <v>3.0150000000000001</v>
      </c>
      <c r="F97">
        <v>1.167</v>
      </c>
    </row>
    <row r="98" spans="1:6">
      <c r="A98" s="1">
        <v>43831</v>
      </c>
      <c r="B98">
        <v>2.1629999999999998</v>
      </c>
      <c r="C98">
        <v>1.288</v>
      </c>
      <c r="D98">
        <v>1.6879999999999999</v>
      </c>
      <c r="E98">
        <v>3.02</v>
      </c>
      <c r="F98">
        <v>1.155</v>
      </c>
    </row>
    <row r="99" spans="1:6">
      <c r="A99" s="1">
        <v>43862</v>
      </c>
      <c r="B99">
        <v>2.1909999999999998</v>
      </c>
      <c r="C99">
        <v>1.2929999999999999</v>
      </c>
      <c r="D99">
        <v>1.69</v>
      </c>
      <c r="E99">
        <v>3.0089999999999999</v>
      </c>
      <c r="F99">
        <v>1.147</v>
      </c>
    </row>
    <row r="100" spans="1:6">
      <c r="A100" s="1">
        <v>43891</v>
      </c>
      <c r="B100">
        <v>2.1749999999999998</v>
      </c>
      <c r="C100">
        <v>1.294</v>
      </c>
      <c r="D100">
        <v>1.69</v>
      </c>
      <c r="E100">
        <v>3.0089999999999999</v>
      </c>
      <c r="F100">
        <v>1.1479999999999999</v>
      </c>
    </row>
    <row r="101" spans="1:6">
      <c r="A101" s="1">
        <v>43922</v>
      </c>
      <c r="B101">
        <v>2.1720000000000002</v>
      </c>
      <c r="C101">
        <v>1.288</v>
      </c>
      <c r="D101">
        <v>1.69</v>
      </c>
      <c r="E101">
        <v>3.05</v>
      </c>
      <c r="F101">
        <v>1.137</v>
      </c>
    </row>
    <row r="102" spans="1:6">
      <c r="A102" s="1">
        <v>43952</v>
      </c>
      <c r="B102">
        <v>2.1</v>
      </c>
      <c r="C102">
        <v>1.3180000000000001</v>
      </c>
      <c r="D102">
        <v>1.69</v>
      </c>
      <c r="E102">
        <v>2.98</v>
      </c>
      <c r="F102">
        <v>1.123</v>
      </c>
    </row>
    <row r="103" spans="1:6">
      <c r="A103" s="1">
        <v>43983</v>
      </c>
      <c r="B103">
        <v>2.1509999999999998</v>
      </c>
      <c r="C103">
        <v>1.3069999999999999</v>
      </c>
      <c r="D103">
        <v>1.6870000000000001</v>
      </c>
      <c r="E103">
        <v>3.012</v>
      </c>
      <c r="F103">
        <v>1.1419999999999999</v>
      </c>
    </row>
    <row r="104" spans="1:6">
      <c r="A104" s="1">
        <v>44013</v>
      </c>
      <c r="B104">
        <v>2.101</v>
      </c>
      <c r="C104">
        <v>1.3049999999999999</v>
      </c>
      <c r="D104">
        <v>1.69</v>
      </c>
      <c r="E104">
        <v>3.0209999999999999</v>
      </c>
      <c r="F104">
        <v>1.1599999999999999</v>
      </c>
    </row>
    <row r="105" spans="1:6">
      <c r="A105" s="1">
        <v>44044</v>
      </c>
      <c r="B105">
        <v>2.0920000000000001</v>
      </c>
      <c r="C105">
        <v>1.3140000000000001</v>
      </c>
      <c r="D105">
        <v>1.69</v>
      </c>
      <c r="E105">
        <v>3.0750000000000002</v>
      </c>
      <c r="F105">
        <v>1.1599999999999999</v>
      </c>
    </row>
    <row r="106" spans="1:6">
      <c r="A106" s="1">
        <v>44075</v>
      </c>
      <c r="B106">
        <v>1.9890000000000001</v>
      </c>
      <c r="C106">
        <v>1.2809999999999999</v>
      </c>
      <c r="D106">
        <v>1.69</v>
      </c>
      <c r="E106">
        <v>3.0179999999999998</v>
      </c>
      <c r="F106">
        <v>1.1599999999999999</v>
      </c>
    </row>
    <row r="107" spans="1:6">
      <c r="A107" s="1">
        <v>44105</v>
      </c>
      <c r="B107">
        <v>1.97</v>
      </c>
      <c r="C107">
        <v>1.29</v>
      </c>
      <c r="D107">
        <v>1.6870000000000001</v>
      </c>
      <c r="E107">
        <v>2.992</v>
      </c>
      <c r="F107">
        <v>1.1419999999999999</v>
      </c>
    </row>
    <row r="108" spans="1:6">
      <c r="A108" s="1">
        <v>44136</v>
      </c>
      <c r="B108">
        <v>1.9770000000000001</v>
      </c>
      <c r="C108">
        <v>1.294</v>
      </c>
      <c r="D108">
        <v>1.6870000000000001</v>
      </c>
      <c r="E108">
        <v>3.0790000000000002</v>
      </c>
      <c r="F108">
        <v>1.115</v>
      </c>
    </row>
    <row r="109" spans="1:6">
      <c r="A109" s="1">
        <v>44166</v>
      </c>
      <c r="B109">
        <v>1.964</v>
      </c>
      <c r="C109">
        <v>1.304</v>
      </c>
      <c r="D109">
        <v>1.6870000000000001</v>
      </c>
      <c r="E109">
        <v>3.0059999999999998</v>
      </c>
      <c r="F109">
        <v>1.139</v>
      </c>
    </row>
    <row r="110" spans="1:6">
      <c r="A110" s="1">
        <v>44197</v>
      </c>
      <c r="B110">
        <v>1.976</v>
      </c>
      <c r="C110">
        <v>1.2829999999999999</v>
      </c>
      <c r="D110">
        <v>1.6870000000000001</v>
      </c>
      <c r="E110">
        <v>3.07</v>
      </c>
      <c r="F110">
        <v>1.177</v>
      </c>
    </row>
    <row r="111" spans="1:6">
      <c r="A111" s="1">
        <v>44228</v>
      </c>
      <c r="B111">
        <v>1.976</v>
      </c>
      <c r="C111">
        <v>1.302</v>
      </c>
      <c r="D111">
        <v>1.6870000000000001</v>
      </c>
      <c r="E111">
        <v>3.0950000000000002</v>
      </c>
      <c r="F111">
        <v>1.1619999999999999</v>
      </c>
    </row>
    <row r="112" spans="1:6">
      <c r="A112" s="1">
        <v>44256</v>
      </c>
      <c r="B112">
        <v>1.976</v>
      </c>
      <c r="C112">
        <v>1.3029999999999999</v>
      </c>
      <c r="D112">
        <v>1.6870000000000001</v>
      </c>
      <c r="E112">
        <v>3.0779999999999998</v>
      </c>
      <c r="F112">
        <v>1.1759999999999999</v>
      </c>
    </row>
    <row r="113" spans="1:6">
      <c r="A113" s="1">
        <v>44287</v>
      </c>
      <c r="B113">
        <v>1.976</v>
      </c>
      <c r="C113">
        <v>1.3380000000000001</v>
      </c>
      <c r="D113">
        <v>1.6870000000000001</v>
      </c>
      <c r="E113">
        <v>3.0179999999999998</v>
      </c>
      <c r="F113">
        <v>1.1439999999999999</v>
      </c>
    </row>
    <row r="114" spans="1:6">
      <c r="A114" s="1">
        <v>44317</v>
      </c>
      <c r="B114">
        <v>1.968</v>
      </c>
      <c r="C114">
        <v>1.36</v>
      </c>
      <c r="D114">
        <v>1.6870000000000001</v>
      </c>
      <c r="E114">
        <v>2.9750000000000001</v>
      </c>
      <c r="F114">
        <v>1.1759999999999999</v>
      </c>
    </row>
    <row r="115" spans="1:6">
      <c r="A115" s="1">
        <v>44348</v>
      </c>
      <c r="B115">
        <v>1.998</v>
      </c>
      <c r="C115">
        <v>1.371</v>
      </c>
      <c r="D115">
        <v>1.6870000000000001</v>
      </c>
      <c r="E115">
        <v>2.98</v>
      </c>
      <c r="F115">
        <v>1.179</v>
      </c>
    </row>
    <row r="116" spans="1:6">
      <c r="A116" s="1">
        <v>44378</v>
      </c>
      <c r="B116">
        <v>2.0259999999999998</v>
      </c>
      <c r="C116">
        <v>1.37</v>
      </c>
      <c r="D116">
        <v>1.6930000000000001</v>
      </c>
      <c r="E116">
        <v>2.9390000000000001</v>
      </c>
      <c r="F116">
        <v>1.179</v>
      </c>
    </row>
    <row r="117" spans="1:6">
      <c r="A117" s="1">
        <v>44409</v>
      </c>
      <c r="B117">
        <v>2.032</v>
      </c>
      <c r="C117">
        <v>1.3779999999999999</v>
      </c>
      <c r="D117">
        <v>1.6930000000000001</v>
      </c>
      <c r="E117">
        <v>3.0219999999999998</v>
      </c>
      <c r="F117">
        <v>1.179</v>
      </c>
    </row>
    <row r="118" spans="1:6">
      <c r="A118" s="1">
        <v>44440</v>
      </c>
      <c r="B118">
        <v>2.0369999999999999</v>
      </c>
      <c r="C118">
        <v>1.3640000000000001</v>
      </c>
      <c r="D118">
        <v>1.6930000000000001</v>
      </c>
      <c r="E118">
        <v>2.9750000000000001</v>
      </c>
      <c r="F118">
        <v>1.17</v>
      </c>
    </row>
    <row r="119" spans="1:6">
      <c r="A119" s="1">
        <v>44470</v>
      </c>
      <c r="B119">
        <v>2.0680000000000001</v>
      </c>
      <c r="C119">
        <v>1.37</v>
      </c>
      <c r="D119">
        <v>1.6930000000000001</v>
      </c>
      <c r="E119">
        <v>3.1</v>
      </c>
      <c r="F119">
        <v>1.155</v>
      </c>
    </row>
    <row r="120" spans="1:6">
      <c r="A120" s="1">
        <v>44501</v>
      </c>
      <c r="B120">
        <v>2.0790000000000002</v>
      </c>
      <c r="C120">
        <v>1.3759999999999999</v>
      </c>
      <c r="D120">
        <v>1.6879999999999999</v>
      </c>
      <c r="E120">
        <v>3.0139999999999998</v>
      </c>
      <c r="F120">
        <v>1.125</v>
      </c>
    </row>
    <row r="121" spans="1:6">
      <c r="A121" s="1">
        <v>44531</v>
      </c>
      <c r="B121">
        <v>2.0630000000000002</v>
      </c>
      <c r="C121">
        <v>1.4039999999999999</v>
      </c>
      <c r="D121">
        <v>1.6910000000000001</v>
      </c>
      <c r="E121">
        <v>3.1259999999999999</v>
      </c>
      <c r="F121">
        <v>1.165</v>
      </c>
    </row>
    <row r="122" spans="1:6">
      <c r="A122" s="1">
        <v>44562</v>
      </c>
      <c r="B122">
        <v>2.0739999999999998</v>
      </c>
      <c r="C122">
        <v>1.4039999999999999</v>
      </c>
      <c r="D122">
        <v>1.732</v>
      </c>
      <c r="E122">
        <v>3.1</v>
      </c>
      <c r="F122">
        <v>1.2210000000000001</v>
      </c>
    </row>
    <row r="123" spans="1:6">
      <c r="A123" s="1">
        <v>44593</v>
      </c>
      <c r="B123">
        <v>2.0830000000000002</v>
      </c>
      <c r="C123">
        <v>1.4379999999999999</v>
      </c>
      <c r="D123">
        <v>1.794</v>
      </c>
      <c r="E123">
        <v>3.1480000000000001</v>
      </c>
      <c r="F123">
        <v>1.2170000000000001</v>
      </c>
    </row>
    <row r="124" spans="1:6">
      <c r="A124" s="1">
        <v>44621</v>
      </c>
      <c r="B124">
        <v>2.19</v>
      </c>
      <c r="C124">
        <v>1.4319999999999999</v>
      </c>
      <c r="D124">
        <v>1.833</v>
      </c>
      <c r="E124">
        <v>3.1680000000000001</v>
      </c>
      <c r="F124">
        <v>1.2310000000000001</v>
      </c>
    </row>
    <row r="125" spans="1:6">
      <c r="A125" s="1">
        <v>44652</v>
      </c>
      <c r="B125">
        <v>2.2160000000000002</v>
      </c>
      <c r="C125">
        <v>1.462</v>
      </c>
      <c r="D125">
        <v>1.8380000000000001</v>
      </c>
      <c r="E125">
        <v>3.214</v>
      </c>
      <c r="F125">
        <v>1.222</v>
      </c>
    </row>
    <row r="126" spans="1:6">
      <c r="A126" s="1">
        <v>44682</v>
      </c>
      <c r="B126">
        <v>2.2309999999999999</v>
      </c>
      <c r="C126">
        <v>1.4990000000000001</v>
      </c>
      <c r="D126">
        <v>1.865</v>
      </c>
      <c r="E126">
        <v>3.36</v>
      </c>
      <c r="F126">
        <v>1.23</v>
      </c>
    </row>
    <row r="127" spans="1:6">
      <c r="A127" s="1">
        <v>44713</v>
      </c>
      <c r="B127">
        <v>2.2959999999999998</v>
      </c>
      <c r="C127">
        <v>1.554</v>
      </c>
      <c r="D127">
        <v>1.9550000000000001</v>
      </c>
      <c r="E127">
        <v>3.4620000000000002</v>
      </c>
      <c r="F127">
        <v>1.2470000000000001</v>
      </c>
    </row>
    <row r="128" spans="1:6">
      <c r="A128" s="1">
        <v>44743</v>
      </c>
      <c r="B128">
        <v>2.3919999999999999</v>
      </c>
      <c r="C128">
        <v>1.599</v>
      </c>
      <c r="D128">
        <v>2.052</v>
      </c>
      <c r="E128">
        <v>3.5150000000000001</v>
      </c>
      <c r="F128">
        <v>1.2470000000000001</v>
      </c>
    </row>
    <row r="129" spans="1:6">
      <c r="A129" s="1">
        <v>44774</v>
      </c>
      <c r="B129">
        <v>2.3889999999999998</v>
      </c>
      <c r="C129">
        <v>1.6080000000000001</v>
      </c>
      <c r="D129">
        <v>2.0750000000000002</v>
      </c>
      <c r="E129">
        <v>3.581</v>
      </c>
      <c r="F129">
        <v>1.246</v>
      </c>
    </row>
    <row r="130" spans="1:6">
      <c r="A130" s="1">
        <v>44805</v>
      </c>
      <c r="B130">
        <v>2.3809999999999998</v>
      </c>
      <c r="C130">
        <v>1.615</v>
      </c>
      <c r="D130">
        <v>2.0979999999999999</v>
      </c>
      <c r="E130">
        <v>3.645</v>
      </c>
      <c r="F130">
        <v>1.248</v>
      </c>
    </row>
    <row r="131" spans="1:6">
      <c r="A131" s="1">
        <v>44835</v>
      </c>
      <c r="B131">
        <v>2.3879999999999999</v>
      </c>
      <c r="C131">
        <v>1.633</v>
      </c>
      <c r="D131">
        <v>2.1230000000000002</v>
      </c>
      <c r="E131">
        <v>3.7</v>
      </c>
      <c r="F131">
        <v>1.331</v>
      </c>
    </row>
    <row r="132" spans="1:6">
      <c r="A132" s="1">
        <v>44866</v>
      </c>
      <c r="B132">
        <v>2.3940000000000001</v>
      </c>
      <c r="C132">
        <v>1.655</v>
      </c>
      <c r="D132">
        <v>2.2400000000000002</v>
      </c>
      <c r="E132">
        <v>3.78</v>
      </c>
      <c r="F132">
        <v>1.403</v>
      </c>
    </row>
    <row r="133" spans="1:6">
      <c r="A133" s="1">
        <v>44896</v>
      </c>
      <c r="B133">
        <v>2.3849999999999998</v>
      </c>
      <c r="C133">
        <v>1.6619999999999999</v>
      </c>
      <c r="D133">
        <v>2.2549999999999999</v>
      </c>
      <c r="E133">
        <v>3.8359999999999999</v>
      </c>
      <c r="F133">
        <v>1.5129999999999999</v>
      </c>
    </row>
    <row r="134" spans="1:6">
      <c r="A134" s="1">
        <v>44927</v>
      </c>
      <c r="B134">
        <v>2.41</v>
      </c>
      <c r="C134">
        <v>1.6719999999999999</v>
      </c>
      <c r="D134">
        <v>2.2610000000000001</v>
      </c>
      <c r="E134">
        <v>3.8279999999999998</v>
      </c>
      <c r="F134">
        <v>1.538</v>
      </c>
    </row>
    <row r="135" spans="1:6">
      <c r="A135" s="1">
        <v>44958</v>
      </c>
      <c r="B135">
        <v>2.4449999999999998</v>
      </c>
      <c r="C135">
        <v>1.6759999999999999</v>
      </c>
      <c r="D135">
        <v>2.274</v>
      </c>
      <c r="E135">
        <v>3.843</v>
      </c>
      <c r="F135">
        <v>1.591</v>
      </c>
    </row>
    <row r="136" spans="1:6">
      <c r="A136" s="1">
        <v>44986</v>
      </c>
      <c r="B136">
        <v>2.4510000000000001</v>
      </c>
      <c r="C136">
        <v>1.68</v>
      </c>
      <c r="D136">
        <v>2.278</v>
      </c>
      <c r="E136">
        <v>3.8540000000000001</v>
      </c>
      <c r="F136">
        <v>1.6830000000000001</v>
      </c>
    </row>
    <row r="137" spans="1:6">
      <c r="A137" s="1">
        <v>45017</v>
      </c>
      <c r="B137">
        <v>2.4319999999999999</v>
      </c>
      <c r="C137">
        <v>1.6879999999999999</v>
      </c>
      <c r="D137">
        <v>2.2789999999999999</v>
      </c>
      <c r="E137">
        <v>3.8660000000000001</v>
      </c>
      <c r="F137">
        <v>1.698</v>
      </c>
    </row>
    <row r="138" spans="1:6">
      <c r="A138" s="1">
        <v>45047</v>
      </c>
      <c r="B138">
        <v>2.452</v>
      </c>
      <c r="C138">
        <v>1.6779999999999999</v>
      </c>
      <c r="D138">
        <v>2.218</v>
      </c>
      <c r="E138">
        <v>3.758</v>
      </c>
      <c r="F138">
        <v>1.754</v>
      </c>
    </row>
    <row r="139" spans="1:6">
      <c r="A139" s="1">
        <v>45078</v>
      </c>
      <c r="B139">
        <v>2.464</v>
      </c>
      <c r="C139">
        <v>1.661</v>
      </c>
      <c r="D139">
        <v>2.2360000000000002</v>
      </c>
      <c r="E139">
        <v>3.754</v>
      </c>
      <c r="F139">
        <v>1.748</v>
      </c>
    </row>
    <row r="140" spans="1:6">
      <c r="A140" s="1">
        <v>45108</v>
      </c>
      <c r="B140">
        <v>2.464</v>
      </c>
      <c r="C140">
        <v>1.651</v>
      </c>
      <c r="D140">
        <v>2.2000000000000002</v>
      </c>
      <c r="E140">
        <v>3.7559999999999998</v>
      </c>
      <c r="F140">
        <v>1.7569999999999999</v>
      </c>
    </row>
    <row r="141" spans="1:6">
      <c r="A141" s="1">
        <v>45139</v>
      </c>
      <c r="B141">
        <v>2.4649999999999999</v>
      </c>
      <c r="C141">
        <v>1.6519999999999999</v>
      </c>
      <c r="D141">
        <v>2.1859999999999999</v>
      </c>
      <c r="E141">
        <v>3.7669999999999999</v>
      </c>
      <c r="F141">
        <v>1.7569999999999999</v>
      </c>
    </row>
    <row r="142" spans="1:6">
      <c r="A142" s="1">
        <v>45170</v>
      </c>
      <c r="B142">
        <v>2.5390000000000001</v>
      </c>
      <c r="C142">
        <v>1.6519999999999999</v>
      </c>
      <c r="D142">
        <v>2.1850000000000001</v>
      </c>
      <c r="E142">
        <v>3.74</v>
      </c>
      <c r="F142">
        <v>1.8009999999999999</v>
      </c>
    </row>
    <row r="143" spans="1:6">
      <c r="A143" s="1">
        <v>45200</v>
      </c>
      <c r="B143">
        <v>2.5449999999999999</v>
      </c>
      <c r="C143">
        <v>1.6479999999999999</v>
      </c>
      <c r="D143">
        <v>2.1789999999999998</v>
      </c>
      <c r="E143">
        <v>3.7389999999999999</v>
      </c>
      <c r="F143">
        <v>1.841</v>
      </c>
    </row>
    <row r="144" spans="1:6">
      <c r="A144" s="1">
        <v>45231</v>
      </c>
      <c r="B144">
        <v>2.6339999999999999</v>
      </c>
      <c r="C144">
        <v>1.6439999999999999</v>
      </c>
      <c r="D144">
        <v>2.1789999999999998</v>
      </c>
      <c r="E144">
        <v>3.746</v>
      </c>
      <c r="F144">
        <v>1.8839999999999999</v>
      </c>
    </row>
    <row r="145" spans="1:6">
      <c r="A145" s="1">
        <v>45261</v>
      </c>
      <c r="B145">
        <v>2.6240000000000001</v>
      </c>
      <c r="C145">
        <v>1.6439999999999999</v>
      </c>
      <c r="D145">
        <v>2.1800000000000002</v>
      </c>
      <c r="E145">
        <v>3.7480000000000002</v>
      </c>
      <c r="F145">
        <v>1.88</v>
      </c>
    </row>
    <row r="146" spans="1:6">
      <c r="A146" s="1">
        <v>45292</v>
      </c>
      <c r="B146">
        <v>2.641</v>
      </c>
      <c r="C146">
        <v>1.64</v>
      </c>
      <c r="D146">
        <v>2.181</v>
      </c>
      <c r="E146">
        <v>3.76</v>
      </c>
      <c r="F146">
        <v>1.899</v>
      </c>
    </row>
    <row r="147" spans="1:6">
      <c r="A147" s="1">
        <v>45323</v>
      </c>
      <c r="B147">
        <v>2.6419999999999999</v>
      </c>
      <c r="C147">
        <v>1.6419999999999999</v>
      </c>
      <c r="D147">
        <v>2.1789999999999998</v>
      </c>
      <c r="E147">
        <v>3.7269999999999999</v>
      </c>
      <c r="F147">
        <v>1.879</v>
      </c>
    </row>
    <row r="148" spans="1:6">
      <c r="A148" s="1">
        <v>45352</v>
      </c>
      <c r="B148">
        <v>2.6309999999999998</v>
      </c>
      <c r="C148">
        <v>1.65</v>
      </c>
      <c r="D148">
        <v>2.1829999999999998</v>
      </c>
      <c r="E148">
        <v>3.7130000000000001</v>
      </c>
      <c r="F148">
        <v>1.8839999999999999</v>
      </c>
    </row>
    <row r="149" spans="1:6">
      <c r="A149" s="1">
        <v>45383</v>
      </c>
      <c r="B149">
        <v>2.5649999999999999</v>
      </c>
      <c r="C149">
        <v>1.643</v>
      </c>
      <c r="D149">
        <v>2.19</v>
      </c>
      <c r="E149">
        <v>3.718</v>
      </c>
      <c r="F149">
        <v>1.867</v>
      </c>
    </row>
    <row r="150" spans="1:6">
      <c r="A150" s="1">
        <v>45413</v>
      </c>
      <c r="B150">
        <v>2.6440000000000001</v>
      </c>
      <c r="C150">
        <v>1.6180000000000001</v>
      </c>
      <c r="D150">
        <v>2.19</v>
      </c>
      <c r="E150">
        <v>3.706</v>
      </c>
      <c r="F150">
        <v>1.88</v>
      </c>
    </row>
    <row r="151" spans="1:6">
      <c r="A151" s="1">
        <v>45444</v>
      </c>
      <c r="B151">
        <v>2.6469999999999998</v>
      </c>
      <c r="C151">
        <v>1.6140000000000001</v>
      </c>
      <c r="D151">
        <v>2.1949999999999998</v>
      </c>
      <c r="E151">
        <v>3.7280000000000002</v>
      </c>
      <c r="F151">
        <v>1.8720000000000001</v>
      </c>
    </row>
    <row r="152" spans="1:6">
      <c r="A152" s="1">
        <v>45474</v>
      </c>
      <c r="B152">
        <v>2.6379999999999999</v>
      </c>
      <c r="C152">
        <v>1.615</v>
      </c>
      <c r="D152">
        <v>2.1920000000000002</v>
      </c>
      <c r="E152">
        <v>3.79</v>
      </c>
      <c r="F152">
        <v>1.873</v>
      </c>
    </row>
    <row r="153" spans="1:6">
      <c r="A153" s="1">
        <v>45505</v>
      </c>
      <c r="B153">
        <v>2.6070000000000002</v>
      </c>
      <c r="C153">
        <v>1.6120000000000001</v>
      </c>
      <c r="D153">
        <v>2.1920000000000002</v>
      </c>
      <c r="E153">
        <v>3.9430000000000001</v>
      </c>
      <c r="F153">
        <v>1.873</v>
      </c>
    </row>
    <row r="154" spans="1:6">
      <c r="A154" s="1">
        <v>45536</v>
      </c>
      <c r="B154">
        <v>2.6070000000000002</v>
      </c>
      <c r="C154">
        <v>1.613</v>
      </c>
      <c r="D154">
        <v>2.1989999999999998</v>
      </c>
      <c r="E154">
        <v>4.13</v>
      </c>
      <c r="F154">
        <v>1.873</v>
      </c>
    </row>
    <row r="155" spans="1:6">
      <c r="A155" s="1">
        <v>45566</v>
      </c>
      <c r="B155">
        <v>2.6</v>
      </c>
      <c r="C155">
        <v>1.613</v>
      </c>
      <c r="D155">
        <v>2.2090000000000001</v>
      </c>
      <c r="E155">
        <v>4.2249999999999996</v>
      </c>
      <c r="F155">
        <v>1.8779999999999999</v>
      </c>
    </row>
    <row r="156" spans="1:6">
      <c r="A156" s="1">
        <v>45597</v>
      </c>
      <c r="B156">
        <v>2.472</v>
      </c>
      <c r="C156">
        <v>1.609</v>
      </c>
      <c r="D156">
        <v>2.306</v>
      </c>
      <c r="E156">
        <v>4.3319999999999999</v>
      </c>
      <c r="F156">
        <v>1.85</v>
      </c>
    </row>
    <row r="157" spans="1:6">
      <c r="A157" s="1">
        <v>45627</v>
      </c>
      <c r="B157">
        <v>2.5979999999999999</v>
      </c>
      <c r="C157">
        <v>1.63</v>
      </c>
      <c r="D157">
        <v>2.363</v>
      </c>
      <c r="E157">
        <v>4.3460000000000001</v>
      </c>
      <c r="F157">
        <v>1.831</v>
      </c>
    </row>
    <row r="158" spans="1:6">
      <c r="A158" s="1">
        <v>45658</v>
      </c>
      <c r="B158">
        <v>2.609</v>
      </c>
      <c r="C158">
        <v>1.6279999999999999</v>
      </c>
      <c r="D158">
        <v>2.3639999999999999</v>
      </c>
      <c r="E158">
        <v>4.3049999999999997</v>
      </c>
      <c r="F158">
        <v>1.8779999999999999</v>
      </c>
    </row>
    <row r="159" spans="1:6">
      <c r="A159" s="1">
        <v>45689</v>
      </c>
      <c r="B159">
        <v>2.609</v>
      </c>
      <c r="C159">
        <v>1.635</v>
      </c>
      <c r="D159">
        <v>2.4420000000000002</v>
      </c>
      <c r="E159">
        <v>4.4290000000000003</v>
      </c>
      <c r="F159">
        <v>1.86</v>
      </c>
    </row>
    <row r="160" spans="1:6">
      <c r="A160" s="1">
        <v>45717</v>
      </c>
      <c r="B160">
        <v>2.5350000000000001</v>
      </c>
      <c r="C160">
        <v>1.64</v>
      </c>
      <c r="D160">
        <v>2.456</v>
      </c>
      <c r="E160">
        <v>4.4660000000000002</v>
      </c>
      <c r="F160">
        <v>1.867</v>
      </c>
    </row>
    <row r="161" spans="1:6">
      <c r="A161" s="1">
        <v>45748</v>
      </c>
      <c r="B161">
        <v>2.4870000000000001</v>
      </c>
      <c r="C161">
        <v>1.635</v>
      </c>
      <c r="D161">
        <v>2.4630000000000001</v>
      </c>
      <c r="E161">
        <v>4.6920000000000002</v>
      </c>
      <c r="F161">
        <v>1.798</v>
      </c>
    </row>
    <row r="162" spans="1:6">
      <c r="A162" s="1">
        <v>45778</v>
      </c>
      <c r="B162">
        <v>2.6240000000000001</v>
      </c>
      <c r="C162">
        <v>1.669</v>
      </c>
      <c r="D162">
        <v>2.4630000000000001</v>
      </c>
      <c r="E162">
        <v>4.742</v>
      </c>
      <c r="F162">
        <v>1.873</v>
      </c>
    </row>
    <row r="163" spans="1:6">
      <c r="A163" s="1">
        <v>45809</v>
      </c>
      <c r="B163">
        <v>2.6269999999999998</v>
      </c>
      <c r="C163">
        <v>1.671</v>
      </c>
      <c r="D163">
        <v>2.4660000000000002</v>
      </c>
      <c r="E163">
        <v>4.8319999999999999</v>
      </c>
      <c r="F163">
        <v>1.806</v>
      </c>
    </row>
    <row r="164" spans="1:6">
      <c r="A164" s="1">
        <v>45839</v>
      </c>
      <c r="B164">
        <v>2.633</v>
      </c>
      <c r="C164">
        <v>1.6719999999999999</v>
      </c>
      <c r="D164">
        <v>2.4660000000000002</v>
      </c>
      <c r="E164">
        <v>4.87</v>
      </c>
      <c r="F164">
        <v>1.8089999999999999</v>
      </c>
    </row>
    <row r="165" spans="1:6">
      <c r="A165" s="1">
        <v>45870</v>
      </c>
      <c r="B165">
        <v>2.629</v>
      </c>
      <c r="C165">
        <v>1.675</v>
      </c>
      <c r="D165">
        <v>2.4660000000000002</v>
      </c>
      <c r="E165">
        <v>4.8540000000000001</v>
      </c>
      <c r="F165">
        <v>1.829</v>
      </c>
    </row>
    <row r="166" spans="1:6">
      <c r="A166" s="1">
        <v>45901</v>
      </c>
      <c r="B166">
        <v>2.6139999999999999</v>
      </c>
      <c r="C166">
        <v>1.663</v>
      </c>
      <c r="D166">
        <v>2.4660000000000002</v>
      </c>
      <c r="E166">
        <v>4.8129999999999997</v>
      </c>
      <c r="F166">
        <v>1.8380000000000001</v>
      </c>
    </row>
    <row r="167" spans="1:6">
      <c r="A167" s="1">
        <v>45931</v>
      </c>
      <c r="B167">
        <v>2.472</v>
      </c>
      <c r="C167">
        <v>1.681</v>
      </c>
      <c r="D167">
        <v>2.4289999999999998</v>
      </c>
      <c r="E167">
        <v>4.867</v>
      </c>
      <c r="F167">
        <v>1.8160000000000001</v>
      </c>
    </row>
    <row r="168" spans="1:6">
      <c r="A168" s="1">
        <v>45962</v>
      </c>
      <c r="B168">
        <v>2.4900000000000002</v>
      </c>
      <c r="C168">
        <v>1.696</v>
      </c>
      <c r="D168">
        <v>2.4169999999999998</v>
      </c>
      <c r="E168">
        <v>4.88</v>
      </c>
      <c r="F168">
        <v>1.875</v>
      </c>
    </row>
    <row r="169" spans="1:6">
      <c r="A169" s="1">
        <v>45992</v>
      </c>
      <c r="B169">
        <v>2.5760000000000001</v>
      </c>
      <c r="C169">
        <v>1.6779999999999999</v>
      </c>
      <c r="D169">
        <v>2.415</v>
      </c>
      <c r="E169">
        <v>4.8869999999999996</v>
      </c>
      <c r="F169">
        <v>1.827</v>
      </c>
    </row>
    <row r="170" spans="1:6">
      <c r="A170" s="1">
        <v>46023</v>
      </c>
      <c r="B170">
        <v>2.5470000000000002</v>
      </c>
      <c r="C170">
        <v>1.6719999999999999</v>
      </c>
      <c r="D170">
        <v>2.415</v>
      </c>
      <c r="E170">
        <v>4.6509999999999998</v>
      </c>
      <c r="F170">
        <v>1.839</v>
      </c>
    </row>
    <row r="171" spans="1:6">
      <c r="A171" s="1">
        <v>46054</v>
      </c>
      <c r="B171">
        <v>2.5049999999999999</v>
      </c>
      <c r="C171">
        <v>1.6739999999999999</v>
      </c>
      <c r="D171">
        <v>2.4169999999999998</v>
      </c>
      <c r="E171">
        <v>4.4589999999999996</v>
      </c>
      <c r="F171">
        <v>1.821</v>
      </c>
    </row>
    <row r="172" spans="1:6">
      <c r="A172" s="1">
        <v>46082</v>
      </c>
      <c r="B172">
        <v>2.431</v>
      </c>
      <c r="C172">
        <v>1.671</v>
      </c>
      <c r="D172">
        <v>2.423</v>
      </c>
      <c r="E172">
        <v>4.4000000000000004</v>
      </c>
      <c r="F172">
        <v>1.835</v>
      </c>
    </row>
    <row r="173" spans="1:6">
      <c r="A173" s="1">
        <v>46113</v>
      </c>
      <c r="B173">
        <v>2.5310000000000001</v>
      </c>
      <c r="C173">
        <v>1.675</v>
      </c>
      <c r="D173">
        <v>2.3839999999999999</v>
      </c>
      <c r="E173">
        <v>4.3090000000000002</v>
      </c>
      <c r="F173">
        <v>1.784</v>
      </c>
    </row>
    <row r="174" spans="1:6">
      <c r="A174" s="1">
        <v>46143</v>
      </c>
      <c r="B174">
        <v>2.5379999999999998</v>
      </c>
      <c r="C174">
        <v>1.6719999999999999</v>
      </c>
      <c r="D174">
        <v>2.3820000000000001</v>
      </c>
      <c r="E174">
        <v>4.3010000000000002</v>
      </c>
      <c r="F174">
        <v>1.839</v>
      </c>
    </row>
    <row r="175" spans="1:6">
      <c r="A175" s="1">
        <v>46174</v>
      </c>
      <c r="B175">
        <v>2.5529999999999999</v>
      </c>
      <c r="C175">
        <v>1.669</v>
      </c>
      <c r="D175">
        <v>2.3820000000000001</v>
      </c>
      <c r="E175">
        <v>4.2930000000000001</v>
      </c>
      <c r="F175">
        <v>1.839</v>
      </c>
    </row>
    <row r="176" spans="1:6">
      <c r="A176" s="1">
        <v>46204</v>
      </c>
      <c r="B176">
        <v>2.5569999999999999</v>
      </c>
      <c r="C176">
        <v>1.6679999999999999</v>
      </c>
      <c r="D176">
        <v>2.3820000000000001</v>
      </c>
      <c r="E176">
        <v>4.3239999999999998</v>
      </c>
      <c r="F176">
        <v>1.839</v>
      </c>
    </row>
    <row r="177" spans="1:6">
      <c r="A177" s="1">
        <v>46235</v>
      </c>
      <c r="B177">
        <v>2.556</v>
      </c>
      <c r="C177">
        <v>1.6619999999999999</v>
      </c>
      <c r="D177">
        <v>2.3820000000000001</v>
      </c>
      <c r="E177">
        <v>4.3040000000000003</v>
      </c>
      <c r="F177">
        <v>1.833</v>
      </c>
    </row>
    <row r="178" spans="1:6">
      <c r="A178" s="1">
        <v>46266</v>
      </c>
      <c r="B178">
        <v>2.5649999999999999</v>
      </c>
      <c r="C178">
        <v>1.6719999999999999</v>
      </c>
      <c r="D178">
        <v>2.3740000000000001</v>
      </c>
      <c r="E178">
        <v>4.2380000000000004</v>
      </c>
      <c r="F178">
        <v>1.8340000000000001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A163-3530-4055-8381-BE273514CA83}">
  <dimension ref="A1:D178"/>
  <sheetViews>
    <sheetView workbookViewId="0">
      <selection activeCell="I9" sqref="I9"/>
    </sheetView>
  </sheetViews>
  <sheetFormatPr defaultRowHeight="14.4"/>
  <cols>
    <col min="1" max="1" width="9.9453125" style="1" bestFit="1" customWidth="1"/>
    <col min="2" max="2" width="13" bestFit="1" customWidth="1"/>
    <col min="3" max="3" width="14.15625" bestFit="1" customWidth="1"/>
    <col min="4" max="4" width="10.05078125" bestFit="1" customWidth="1"/>
  </cols>
  <sheetData>
    <row r="1" spans="1:4">
      <c r="A1" s="1" t="s">
        <v>0</v>
      </c>
      <c r="B1" t="s">
        <v>88</v>
      </c>
      <c r="C1" t="s">
        <v>89</v>
      </c>
      <c r="D1" t="s">
        <v>90</v>
      </c>
    </row>
    <row r="2" spans="1:4">
      <c r="A2" s="1">
        <v>40909</v>
      </c>
      <c r="B2">
        <v>81.2</v>
      </c>
      <c r="C2">
        <v>47.7</v>
      </c>
      <c r="D2">
        <v>87.2</v>
      </c>
    </row>
    <row r="3" spans="1:4">
      <c r="A3" s="1">
        <v>40940</v>
      </c>
      <c r="B3">
        <v>81.900000000000006</v>
      </c>
      <c r="C3">
        <v>47.7</v>
      </c>
      <c r="D3">
        <v>89</v>
      </c>
    </row>
    <row r="4" spans="1:4">
      <c r="A4" s="1">
        <v>40969</v>
      </c>
      <c r="B4">
        <v>82.7</v>
      </c>
      <c r="C4">
        <v>47.7</v>
      </c>
      <c r="D4">
        <v>91.5</v>
      </c>
    </row>
    <row r="5" spans="1:4">
      <c r="A5" s="1">
        <v>41000</v>
      </c>
      <c r="B5">
        <v>82.8</v>
      </c>
      <c r="C5">
        <v>48.1</v>
      </c>
      <c r="D5">
        <v>94</v>
      </c>
    </row>
    <row r="6" spans="1:4">
      <c r="A6" s="1">
        <v>41030</v>
      </c>
      <c r="B6">
        <v>82.7</v>
      </c>
      <c r="C6">
        <v>49</v>
      </c>
      <c r="D6">
        <v>92.9</v>
      </c>
    </row>
    <row r="7" spans="1:4">
      <c r="A7" s="1">
        <v>41061</v>
      </c>
      <c r="B7">
        <v>82.6</v>
      </c>
      <c r="C7">
        <v>49</v>
      </c>
      <c r="D7">
        <v>90.4</v>
      </c>
    </row>
    <row r="8" spans="1:4">
      <c r="A8" s="1">
        <v>41091</v>
      </c>
      <c r="B8">
        <v>82.5</v>
      </c>
      <c r="C8">
        <v>49</v>
      </c>
      <c r="D8">
        <v>89</v>
      </c>
    </row>
    <row r="9" spans="1:4">
      <c r="A9" s="1">
        <v>41122</v>
      </c>
      <c r="B9">
        <v>83</v>
      </c>
      <c r="C9">
        <v>49</v>
      </c>
      <c r="D9">
        <v>92.2</v>
      </c>
    </row>
    <row r="10" spans="1:4">
      <c r="A10" s="1">
        <v>41153</v>
      </c>
      <c r="B10">
        <v>82.9</v>
      </c>
      <c r="C10">
        <v>49</v>
      </c>
      <c r="D10">
        <v>95</v>
      </c>
    </row>
    <row r="11" spans="1:4">
      <c r="A11" s="1">
        <v>41183</v>
      </c>
      <c r="B11">
        <v>82.8</v>
      </c>
      <c r="C11">
        <v>51.8</v>
      </c>
      <c r="D11">
        <v>93.7</v>
      </c>
    </row>
    <row r="12" spans="1:4">
      <c r="A12" s="1">
        <v>41214</v>
      </c>
      <c r="B12">
        <v>82.5</v>
      </c>
      <c r="C12">
        <v>51.8</v>
      </c>
      <c r="D12">
        <v>90.8</v>
      </c>
    </row>
    <row r="13" spans="1:4">
      <c r="A13" s="1">
        <v>41244</v>
      </c>
      <c r="B13">
        <v>82.5</v>
      </c>
      <c r="C13">
        <v>51.8</v>
      </c>
      <c r="D13">
        <v>89.8</v>
      </c>
    </row>
    <row r="14" spans="1:4">
      <c r="A14" s="1">
        <v>41275</v>
      </c>
      <c r="B14">
        <v>82.2</v>
      </c>
      <c r="C14">
        <v>51.8</v>
      </c>
      <c r="D14">
        <v>88.7</v>
      </c>
    </row>
    <row r="15" spans="1:4">
      <c r="A15" s="1">
        <v>41306</v>
      </c>
      <c r="B15">
        <v>82.8</v>
      </c>
      <c r="C15">
        <v>51.8</v>
      </c>
      <c r="D15">
        <v>89.8</v>
      </c>
    </row>
    <row r="16" spans="1:4">
      <c r="A16" s="1">
        <v>41334</v>
      </c>
      <c r="B16">
        <v>83.2</v>
      </c>
      <c r="C16">
        <v>51.8</v>
      </c>
      <c r="D16">
        <v>90.5</v>
      </c>
    </row>
    <row r="17" spans="1:4">
      <c r="A17" s="1">
        <v>41365</v>
      </c>
      <c r="B17">
        <v>83.2</v>
      </c>
      <c r="C17">
        <v>51.8</v>
      </c>
      <c r="D17">
        <v>90.4</v>
      </c>
    </row>
    <row r="18" spans="1:4">
      <c r="A18" s="1">
        <v>41395</v>
      </c>
      <c r="B18">
        <v>83.1</v>
      </c>
      <c r="C18">
        <v>51.8</v>
      </c>
      <c r="D18">
        <v>87.9</v>
      </c>
    </row>
    <row r="19" spans="1:4">
      <c r="A19" s="1">
        <v>41426</v>
      </c>
      <c r="B19">
        <v>83.1</v>
      </c>
      <c r="C19">
        <v>51.8</v>
      </c>
      <c r="D19">
        <v>87.6</v>
      </c>
    </row>
    <row r="20" spans="1:4">
      <c r="A20" s="1">
        <v>41456</v>
      </c>
      <c r="B20">
        <v>83.1</v>
      </c>
      <c r="C20">
        <v>51.8</v>
      </c>
      <c r="D20">
        <v>88</v>
      </c>
    </row>
    <row r="21" spans="1:4">
      <c r="A21" s="1">
        <v>41487</v>
      </c>
      <c r="B21">
        <v>83.1</v>
      </c>
      <c r="C21">
        <v>51.8</v>
      </c>
      <c r="D21">
        <v>88.9</v>
      </c>
    </row>
    <row r="22" spans="1:4">
      <c r="A22" s="1">
        <v>41518</v>
      </c>
      <c r="B22">
        <v>83</v>
      </c>
      <c r="C22">
        <v>51.8</v>
      </c>
      <c r="D22">
        <v>89.9</v>
      </c>
    </row>
    <row r="23" spans="1:4">
      <c r="A23" s="1">
        <v>41548</v>
      </c>
      <c r="B23">
        <v>82.9</v>
      </c>
      <c r="C23">
        <v>52.2</v>
      </c>
      <c r="D23">
        <v>87.7</v>
      </c>
    </row>
    <row r="24" spans="1:4">
      <c r="A24" s="1">
        <v>41579</v>
      </c>
      <c r="B24">
        <v>82.8</v>
      </c>
      <c r="C24">
        <v>53</v>
      </c>
      <c r="D24">
        <v>86</v>
      </c>
    </row>
    <row r="25" spans="1:4">
      <c r="A25" s="1">
        <v>41609</v>
      </c>
      <c r="B25">
        <v>82.7</v>
      </c>
      <c r="C25">
        <v>53</v>
      </c>
      <c r="D25">
        <v>86.3</v>
      </c>
    </row>
    <row r="26" spans="1:4">
      <c r="A26" s="1">
        <v>41640</v>
      </c>
      <c r="B26">
        <v>82.3</v>
      </c>
      <c r="C26">
        <v>53.5</v>
      </c>
      <c r="D26">
        <v>85.9</v>
      </c>
    </row>
    <row r="27" spans="1:4">
      <c r="A27" s="1">
        <v>41671</v>
      </c>
      <c r="B27">
        <v>82.8</v>
      </c>
      <c r="C27">
        <v>53.5</v>
      </c>
      <c r="D27">
        <v>85.6</v>
      </c>
    </row>
    <row r="28" spans="1:4">
      <c r="A28" s="1">
        <v>41699</v>
      </c>
      <c r="B28">
        <v>83.3</v>
      </c>
      <c r="C28">
        <v>53.7</v>
      </c>
      <c r="D28">
        <v>85.8</v>
      </c>
    </row>
    <row r="29" spans="1:4">
      <c r="A29" s="1">
        <v>41730</v>
      </c>
      <c r="B29">
        <v>83.4</v>
      </c>
      <c r="C29">
        <v>53.7</v>
      </c>
      <c r="D29">
        <v>85.9</v>
      </c>
    </row>
    <row r="30" spans="1:4">
      <c r="A30" s="1">
        <v>41760</v>
      </c>
      <c r="B30">
        <v>83.4</v>
      </c>
      <c r="C30">
        <v>53.7</v>
      </c>
      <c r="D30">
        <v>86.3</v>
      </c>
    </row>
    <row r="31" spans="1:4">
      <c r="A31" s="1">
        <v>41791</v>
      </c>
      <c r="B31">
        <v>83.5</v>
      </c>
      <c r="C31">
        <v>53.7</v>
      </c>
      <c r="D31">
        <v>86.5</v>
      </c>
    </row>
    <row r="32" spans="1:4">
      <c r="A32" s="1">
        <v>41821</v>
      </c>
      <c r="B32">
        <v>83.3</v>
      </c>
      <c r="C32">
        <v>53.7</v>
      </c>
      <c r="D32">
        <v>87.7</v>
      </c>
    </row>
    <row r="33" spans="1:4">
      <c r="A33" s="1">
        <v>41852</v>
      </c>
      <c r="B33">
        <v>83.5</v>
      </c>
      <c r="C33">
        <v>53.7</v>
      </c>
      <c r="D33">
        <v>86.9</v>
      </c>
    </row>
    <row r="34" spans="1:4">
      <c r="A34" s="1">
        <v>41883</v>
      </c>
      <c r="B34">
        <v>83.3</v>
      </c>
      <c r="C34">
        <v>53.7</v>
      </c>
      <c r="D34">
        <v>86.3</v>
      </c>
    </row>
    <row r="35" spans="1:4">
      <c r="A35" s="1">
        <v>41913</v>
      </c>
      <c r="B35">
        <v>83</v>
      </c>
      <c r="C35">
        <v>55</v>
      </c>
      <c r="D35">
        <v>85</v>
      </c>
    </row>
    <row r="36" spans="1:4">
      <c r="A36" s="1">
        <v>41944</v>
      </c>
      <c r="B36">
        <v>82.8</v>
      </c>
      <c r="C36">
        <v>54.3</v>
      </c>
      <c r="D36">
        <v>82.6</v>
      </c>
    </row>
    <row r="37" spans="1:4">
      <c r="A37" s="1">
        <v>41974</v>
      </c>
      <c r="B37">
        <v>82.5</v>
      </c>
      <c r="C37">
        <v>54.3</v>
      </c>
      <c r="D37">
        <v>79.3</v>
      </c>
    </row>
    <row r="38" spans="1:4">
      <c r="A38" s="1">
        <v>42005</v>
      </c>
      <c r="B38">
        <v>81.8</v>
      </c>
      <c r="C38">
        <v>54.3</v>
      </c>
      <c r="D38">
        <v>72.7</v>
      </c>
    </row>
    <row r="39" spans="1:4">
      <c r="A39" s="1">
        <v>42036</v>
      </c>
      <c r="B39">
        <v>82.3</v>
      </c>
      <c r="C39">
        <v>54.3</v>
      </c>
      <c r="D39">
        <v>72.400000000000006</v>
      </c>
    </row>
    <row r="40" spans="1:4">
      <c r="A40" s="1">
        <v>42064</v>
      </c>
      <c r="B40">
        <v>82.8</v>
      </c>
      <c r="C40">
        <v>54.1</v>
      </c>
      <c r="D40">
        <v>76.3</v>
      </c>
    </row>
    <row r="41" spans="1:4">
      <c r="A41" s="1">
        <v>42095</v>
      </c>
      <c r="B41">
        <v>82.8</v>
      </c>
      <c r="C41">
        <v>53.9</v>
      </c>
      <c r="D41">
        <v>77.8</v>
      </c>
    </row>
    <row r="42" spans="1:4">
      <c r="A42" s="1">
        <v>42125</v>
      </c>
      <c r="B42">
        <v>83.1</v>
      </c>
      <c r="C42">
        <v>53.9</v>
      </c>
      <c r="D42">
        <v>80.099999999999994</v>
      </c>
    </row>
    <row r="43" spans="1:4">
      <c r="A43" s="1">
        <v>42156</v>
      </c>
      <c r="B43">
        <v>83.3</v>
      </c>
      <c r="C43">
        <v>53.9</v>
      </c>
      <c r="D43">
        <v>80.5</v>
      </c>
    </row>
    <row r="44" spans="1:4">
      <c r="A44" s="1">
        <v>42186</v>
      </c>
      <c r="B44">
        <v>83.1</v>
      </c>
      <c r="C44">
        <v>53.9</v>
      </c>
      <c r="D44">
        <v>80.3</v>
      </c>
    </row>
    <row r="45" spans="1:4">
      <c r="A45" s="1">
        <v>42217</v>
      </c>
      <c r="B45">
        <v>83.4</v>
      </c>
      <c r="C45">
        <v>53.9</v>
      </c>
      <c r="D45">
        <v>78.400000000000006</v>
      </c>
    </row>
    <row r="46" spans="1:4">
      <c r="A46" s="1">
        <v>42248</v>
      </c>
      <c r="B46">
        <v>83.1</v>
      </c>
      <c r="C46">
        <v>53.9</v>
      </c>
      <c r="D46">
        <v>75</v>
      </c>
    </row>
    <row r="47" spans="1:4">
      <c r="A47" s="1">
        <v>42278</v>
      </c>
      <c r="B47">
        <v>82.9</v>
      </c>
      <c r="C47">
        <v>53.5</v>
      </c>
      <c r="D47">
        <v>73</v>
      </c>
    </row>
    <row r="48" spans="1:4">
      <c r="A48" s="1">
        <v>42309</v>
      </c>
      <c r="B48">
        <v>82.6</v>
      </c>
      <c r="C48">
        <v>52.9</v>
      </c>
      <c r="D48">
        <v>72.7</v>
      </c>
    </row>
    <row r="49" spans="1:4">
      <c r="A49" s="1">
        <v>42339</v>
      </c>
      <c r="B49">
        <v>82.6</v>
      </c>
      <c r="C49">
        <v>52.9</v>
      </c>
      <c r="D49">
        <v>72.099999999999994</v>
      </c>
    </row>
    <row r="50" spans="1:4">
      <c r="A50" s="1">
        <v>42370</v>
      </c>
      <c r="B50">
        <v>81.900000000000006</v>
      </c>
      <c r="C50">
        <v>52.7</v>
      </c>
      <c r="D50">
        <v>69.099999999999994</v>
      </c>
    </row>
    <row r="51" spans="1:4">
      <c r="A51" s="1">
        <v>42401</v>
      </c>
      <c r="B51">
        <v>82.2</v>
      </c>
      <c r="C51">
        <v>52.7</v>
      </c>
      <c r="D51">
        <v>66.3</v>
      </c>
    </row>
    <row r="52" spans="1:4">
      <c r="A52" s="1">
        <v>42430</v>
      </c>
      <c r="B52">
        <v>82.5</v>
      </c>
      <c r="C52">
        <v>52.7</v>
      </c>
      <c r="D52">
        <v>66.3</v>
      </c>
    </row>
    <row r="53" spans="1:4">
      <c r="A53" s="1">
        <v>42461</v>
      </c>
      <c r="B53">
        <v>82.7</v>
      </c>
      <c r="C53">
        <v>52.7</v>
      </c>
      <c r="D53">
        <v>69</v>
      </c>
    </row>
    <row r="54" spans="1:4">
      <c r="A54" s="1">
        <v>42491</v>
      </c>
      <c r="B54">
        <v>83.2</v>
      </c>
      <c r="C54">
        <v>52.7</v>
      </c>
      <c r="D54">
        <v>70.5</v>
      </c>
    </row>
    <row r="55" spans="1:4">
      <c r="A55" s="1">
        <v>42522</v>
      </c>
      <c r="B55">
        <v>83.7</v>
      </c>
      <c r="C55">
        <v>52.7</v>
      </c>
      <c r="D55">
        <v>72.8</v>
      </c>
    </row>
    <row r="56" spans="1:4">
      <c r="A56" s="1">
        <v>42552</v>
      </c>
      <c r="B56">
        <v>83.5</v>
      </c>
      <c r="C56">
        <v>52.7</v>
      </c>
      <c r="D56">
        <v>72</v>
      </c>
    </row>
    <row r="57" spans="1:4">
      <c r="A57" s="1">
        <v>42583</v>
      </c>
      <c r="B57">
        <v>83.4</v>
      </c>
      <c r="C57">
        <v>50.6</v>
      </c>
      <c r="D57">
        <v>70.2</v>
      </c>
    </row>
    <row r="58" spans="1:4">
      <c r="A58" s="1">
        <v>42614</v>
      </c>
      <c r="B58">
        <v>83</v>
      </c>
      <c r="C58">
        <v>50.6</v>
      </c>
      <c r="D58">
        <v>70.900000000000006</v>
      </c>
    </row>
    <row r="59" spans="1:4">
      <c r="A59" s="1">
        <v>42644</v>
      </c>
      <c r="B59">
        <v>82.7</v>
      </c>
      <c r="C59">
        <v>50.9</v>
      </c>
      <c r="D59">
        <v>72.099999999999994</v>
      </c>
    </row>
    <row r="60" spans="1:4">
      <c r="A60" s="1">
        <v>42675</v>
      </c>
      <c r="B60">
        <v>82.6</v>
      </c>
      <c r="C60">
        <v>50.9</v>
      </c>
      <c r="D60">
        <v>72.599999999999994</v>
      </c>
    </row>
    <row r="61" spans="1:4">
      <c r="A61" s="1">
        <v>42705</v>
      </c>
      <c r="B61">
        <v>82.6</v>
      </c>
      <c r="C61">
        <v>50.9</v>
      </c>
      <c r="D61">
        <v>73.7</v>
      </c>
    </row>
    <row r="62" spans="1:4">
      <c r="A62" s="1">
        <v>42736</v>
      </c>
      <c r="B62">
        <v>82.2</v>
      </c>
      <c r="C62">
        <v>50.9</v>
      </c>
      <c r="D62">
        <v>76.2</v>
      </c>
    </row>
    <row r="63" spans="1:4">
      <c r="A63" s="1">
        <v>42767</v>
      </c>
      <c r="B63">
        <v>82.7</v>
      </c>
      <c r="C63">
        <v>50.9</v>
      </c>
      <c r="D63">
        <v>76.5</v>
      </c>
    </row>
    <row r="64" spans="1:4">
      <c r="A64" s="1">
        <v>42795</v>
      </c>
      <c r="B64">
        <v>83.1</v>
      </c>
      <c r="C64">
        <v>50.9</v>
      </c>
      <c r="D64">
        <v>76.5</v>
      </c>
    </row>
    <row r="65" spans="1:4">
      <c r="A65" s="1">
        <v>42826</v>
      </c>
      <c r="B65">
        <v>83.5</v>
      </c>
      <c r="C65">
        <v>50.9</v>
      </c>
      <c r="D65">
        <v>76.099999999999994</v>
      </c>
    </row>
    <row r="66" spans="1:4">
      <c r="A66" s="1">
        <v>42856</v>
      </c>
      <c r="B66">
        <v>83.3</v>
      </c>
      <c r="C66">
        <v>50.9</v>
      </c>
      <c r="D66">
        <v>75.400000000000006</v>
      </c>
    </row>
    <row r="67" spans="1:4">
      <c r="A67" s="1">
        <v>42887</v>
      </c>
      <c r="B67">
        <v>83.4</v>
      </c>
      <c r="C67">
        <v>50.9</v>
      </c>
      <c r="D67">
        <v>74.2</v>
      </c>
    </row>
    <row r="68" spans="1:4">
      <c r="A68" s="1">
        <v>42917</v>
      </c>
      <c r="B68">
        <v>83.4</v>
      </c>
      <c r="C68">
        <v>50.9</v>
      </c>
      <c r="D68">
        <v>72.8</v>
      </c>
    </row>
    <row r="69" spans="1:4">
      <c r="A69" s="1">
        <v>42948</v>
      </c>
      <c r="B69">
        <v>83.8</v>
      </c>
      <c r="C69">
        <v>50.9</v>
      </c>
      <c r="D69">
        <v>72.8</v>
      </c>
    </row>
    <row r="70" spans="1:4">
      <c r="A70" s="1">
        <v>42979</v>
      </c>
      <c r="B70">
        <v>83.2</v>
      </c>
      <c r="C70">
        <v>50.9</v>
      </c>
      <c r="D70">
        <v>74.5</v>
      </c>
    </row>
    <row r="71" spans="1:4">
      <c r="A71" s="1">
        <v>43009</v>
      </c>
      <c r="B71">
        <v>83.1</v>
      </c>
      <c r="C71">
        <v>52.1</v>
      </c>
      <c r="D71">
        <v>74.8</v>
      </c>
    </row>
    <row r="72" spans="1:4">
      <c r="A72" s="1">
        <v>43040</v>
      </c>
      <c r="B72">
        <v>83</v>
      </c>
      <c r="C72">
        <v>53.1</v>
      </c>
      <c r="D72">
        <v>76.599999999999994</v>
      </c>
    </row>
    <row r="73" spans="1:4">
      <c r="A73" s="1">
        <v>43070</v>
      </c>
      <c r="B73">
        <v>82.9</v>
      </c>
      <c r="C73">
        <v>53.3</v>
      </c>
      <c r="D73">
        <v>76.599999999999994</v>
      </c>
    </row>
    <row r="74" spans="1:4">
      <c r="A74" s="1">
        <v>43101</v>
      </c>
      <c r="B74">
        <v>82.3</v>
      </c>
      <c r="C74">
        <v>53.3</v>
      </c>
      <c r="D74">
        <v>76.7</v>
      </c>
    </row>
    <row r="75" spans="1:4">
      <c r="A75" s="1">
        <v>43132</v>
      </c>
      <c r="B75">
        <v>83</v>
      </c>
      <c r="C75">
        <v>54.4</v>
      </c>
      <c r="D75">
        <v>76.599999999999994</v>
      </c>
    </row>
    <row r="76" spans="1:4">
      <c r="A76" s="1">
        <v>43160</v>
      </c>
      <c r="B76">
        <v>83.3</v>
      </c>
      <c r="C76">
        <v>54.4</v>
      </c>
      <c r="D76">
        <v>76</v>
      </c>
    </row>
    <row r="77" spans="1:4">
      <c r="A77" s="1">
        <v>43191</v>
      </c>
      <c r="B77">
        <v>83.2</v>
      </c>
      <c r="C77">
        <v>54.4</v>
      </c>
      <c r="D77">
        <v>76.7</v>
      </c>
    </row>
    <row r="78" spans="1:4">
      <c r="A78" s="1">
        <v>43221</v>
      </c>
      <c r="B78">
        <v>83.7</v>
      </c>
      <c r="C78">
        <v>54.4</v>
      </c>
      <c r="D78">
        <v>78.900000000000006</v>
      </c>
    </row>
    <row r="79" spans="1:4">
      <c r="A79" s="1">
        <v>43252</v>
      </c>
      <c r="B79">
        <v>83.7</v>
      </c>
      <c r="C79">
        <v>54.4</v>
      </c>
      <c r="D79">
        <v>82.2</v>
      </c>
    </row>
    <row r="80" spans="1:4">
      <c r="A80" s="1">
        <v>43282</v>
      </c>
      <c r="B80">
        <v>84</v>
      </c>
      <c r="C80">
        <v>54.9</v>
      </c>
      <c r="D80">
        <v>82</v>
      </c>
    </row>
    <row r="81" spans="1:4">
      <c r="A81" s="1">
        <v>43313</v>
      </c>
      <c r="B81">
        <v>84.3</v>
      </c>
      <c r="C81">
        <v>57.6</v>
      </c>
      <c r="D81">
        <v>81.8</v>
      </c>
    </row>
    <row r="82" spans="1:4">
      <c r="A82" s="1">
        <v>43344</v>
      </c>
      <c r="B82">
        <v>84</v>
      </c>
      <c r="C82">
        <v>57.6</v>
      </c>
      <c r="D82">
        <v>82.3</v>
      </c>
    </row>
    <row r="83" spans="1:4">
      <c r="A83" s="1">
        <v>43374</v>
      </c>
      <c r="B83">
        <v>83.9</v>
      </c>
      <c r="C83">
        <v>54.7</v>
      </c>
      <c r="D83">
        <v>84.1</v>
      </c>
    </row>
    <row r="84" spans="1:4">
      <c r="A84" s="1">
        <v>43405</v>
      </c>
      <c r="B84">
        <v>83.5</v>
      </c>
      <c r="C84">
        <v>54.7</v>
      </c>
      <c r="D84">
        <v>83.8</v>
      </c>
    </row>
    <row r="85" spans="1:4">
      <c r="A85" s="1">
        <v>43435</v>
      </c>
      <c r="B85">
        <v>83.4</v>
      </c>
      <c r="C85">
        <v>55.3</v>
      </c>
      <c r="D85">
        <v>81</v>
      </c>
    </row>
    <row r="86" spans="1:4">
      <c r="A86" s="1">
        <v>43466</v>
      </c>
      <c r="B86">
        <v>82.9</v>
      </c>
      <c r="C86">
        <v>55.5</v>
      </c>
      <c r="D86">
        <v>76.2</v>
      </c>
    </row>
    <row r="87" spans="1:4">
      <c r="A87" s="1">
        <v>43497</v>
      </c>
      <c r="B87">
        <v>83.6</v>
      </c>
      <c r="C87">
        <v>55.5</v>
      </c>
      <c r="D87">
        <v>76.599999999999994</v>
      </c>
    </row>
    <row r="88" spans="1:4">
      <c r="A88" s="1">
        <v>43525</v>
      </c>
      <c r="B88">
        <v>84.2</v>
      </c>
      <c r="C88">
        <v>56</v>
      </c>
      <c r="D88">
        <v>78.2</v>
      </c>
    </row>
    <row r="89" spans="1:4">
      <c r="A89" s="1">
        <v>43556</v>
      </c>
      <c r="B89">
        <v>84.5</v>
      </c>
      <c r="C89">
        <v>57.2</v>
      </c>
      <c r="D89">
        <v>80.400000000000006</v>
      </c>
    </row>
    <row r="90" spans="1:4">
      <c r="A90" s="1">
        <v>43586</v>
      </c>
      <c r="B90">
        <v>84.4</v>
      </c>
      <c r="C90">
        <v>57.2</v>
      </c>
      <c r="D90">
        <v>82.6</v>
      </c>
    </row>
    <row r="91" spans="1:4">
      <c r="A91" s="1">
        <v>43617</v>
      </c>
      <c r="B91">
        <v>84.6</v>
      </c>
      <c r="C91">
        <v>57.2</v>
      </c>
      <c r="D91">
        <v>82.2</v>
      </c>
    </row>
    <row r="92" spans="1:4">
      <c r="A92" s="1">
        <v>43647</v>
      </c>
      <c r="B92">
        <v>84.5</v>
      </c>
      <c r="C92">
        <v>57.2</v>
      </c>
      <c r="D92">
        <v>79.8</v>
      </c>
    </row>
    <row r="93" spans="1:4">
      <c r="A93" s="1">
        <v>43678</v>
      </c>
      <c r="B93">
        <v>84.9</v>
      </c>
      <c r="C93">
        <v>57.2</v>
      </c>
      <c r="D93">
        <v>80.099999999999994</v>
      </c>
    </row>
    <row r="94" spans="1:4">
      <c r="A94" s="1">
        <v>43709</v>
      </c>
      <c r="B94">
        <v>84.7</v>
      </c>
      <c r="C94">
        <v>57.2</v>
      </c>
      <c r="D94">
        <v>80.099999999999994</v>
      </c>
    </row>
    <row r="95" spans="1:4">
      <c r="A95" s="1">
        <v>43739</v>
      </c>
      <c r="B95">
        <v>84.5</v>
      </c>
      <c r="C95">
        <v>57</v>
      </c>
      <c r="D95">
        <v>81.3</v>
      </c>
    </row>
    <row r="96" spans="1:4">
      <c r="A96" s="1">
        <v>43770</v>
      </c>
      <c r="B96">
        <v>84.4</v>
      </c>
      <c r="C96">
        <v>57</v>
      </c>
      <c r="D96">
        <v>80.8</v>
      </c>
    </row>
    <row r="97" spans="1:4">
      <c r="A97" s="1">
        <v>43800</v>
      </c>
      <c r="B97">
        <v>84.5</v>
      </c>
      <c r="C97">
        <v>57</v>
      </c>
      <c r="D97">
        <v>81.400000000000006</v>
      </c>
    </row>
    <row r="98" spans="1:4">
      <c r="A98" s="1">
        <v>43831</v>
      </c>
      <c r="B98">
        <v>84</v>
      </c>
      <c r="C98">
        <v>57</v>
      </c>
      <c r="D98">
        <v>82.9</v>
      </c>
    </row>
    <row r="99" spans="1:4">
      <c r="A99" s="1">
        <v>43862</v>
      </c>
      <c r="B99">
        <v>84.5</v>
      </c>
      <c r="C99">
        <v>57</v>
      </c>
      <c r="D99">
        <v>81.8</v>
      </c>
    </row>
    <row r="100" spans="1:4">
      <c r="A100" s="1">
        <v>43891</v>
      </c>
      <c r="B100">
        <v>84.8</v>
      </c>
      <c r="C100">
        <v>57</v>
      </c>
      <c r="D100">
        <v>79.900000000000006</v>
      </c>
    </row>
    <row r="101" spans="1:4">
      <c r="A101" s="1">
        <v>43922</v>
      </c>
      <c r="B101">
        <v>84.5</v>
      </c>
      <c r="C101">
        <v>56.3</v>
      </c>
      <c r="D101">
        <v>76</v>
      </c>
    </row>
    <row r="102" spans="1:4">
      <c r="A102" s="1">
        <v>43952</v>
      </c>
      <c r="B102">
        <v>84</v>
      </c>
      <c r="C102">
        <v>55.8</v>
      </c>
      <c r="D102">
        <v>74.5</v>
      </c>
    </row>
    <row r="103" spans="1:4">
      <c r="A103" s="1">
        <v>43983</v>
      </c>
      <c r="B103">
        <v>84.3</v>
      </c>
      <c r="C103">
        <v>55.6</v>
      </c>
      <c r="D103">
        <v>75</v>
      </c>
    </row>
    <row r="104" spans="1:4">
      <c r="A104" s="1">
        <v>44013</v>
      </c>
      <c r="B104">
        <v>84.1</v>
      </c>
      <c r="C104">
        <v>55.6</v>
      </c>
      <c r="D104">
        <v>76.599999999999994</v>
      </c>
    </row>
    <row r="105" spans="1:4">
      <c r="A105" s="1">
        <v>44044</v>
      </c>
      <c r="B105">
        <v>84</v>
      </c>
      <c r="C105">
        <v>55.6</v>
      </c>
      <c r="D105">
        <v>76.900000000000006</v>
      </c>
    </row>
    <row r="106" spans="1:4">
      <c r="A106" s="1">
        <v>44075</v>
      </c>
      <c r="B106">
        <v>83.7</v>
      </c>
      <c r="C106">
        <v>55.6</v>
      </c>
      <c r="D106">
        <v>76.2</v>
      </c>
    </row>
    <row r="107" spans="1:4">
      <c r="A107" s="1">
        <v>44105</v>
      </c>
      <c r="B107">
        <v>83.3</v>
      </c>
      <c r="C107">
        <v>59.2</v>
      </c>
      <c r="D107">
        <v>75.8</v>
      </c>
    </row>
    <row r="108" spans="1:4">
      <c r="A108" s="1">
        <v>44136</v>
      </c>
      <c r="B108">
        <v>83.5</v>
      </c>
      <c r="C108">
        <v>59.2</v>
      </c>
      <c r="D108">
        <v>76</v>
      </c>
    </row>
    <row r="109" spans="1:4">
      <c r="A109" s="1">
        <v>44166</v>
      </c>
      <c r="B109">
        <v>83.7</v>
      </c>
      <c r="C109">
        <v>59.2</v>
      </c>
      <c r="D109">
        <v>71.8</v>
      </c>
    </row>
    <row r="110" spans="1:4">
      <c r="A110" s="1">
        <v>44197</v>
      </c>
      <c r="B110">
        <v>83.8</v>
      </c>
      <c r="C110">
        <v>59.2</v>
      </c>
      <c r="D110">
        <v>73.599999999999994</v>
      </c>
    </row>
    <row r="111" spans="1:4">
      <c r="A111" s="1">
        <v>44228</v>
      </c>
      <c r="B111">
        <v>84.1</v>
      </c>
      <c r="C111">
        <v>59.2</v>
      </c>
      <c r="D111">
        <v>75.599999999999994</v>
      </c>
    </row>
    <row r="112" spans="1:4">
      <c r="A112" s="1">
        <v>44256</v>
      </c>
      <c r="B112">
        <v>84.8</v>
      </c>
      <c r="C112">
        <v>59.2</v>
      </c>
      <c r="D112">
        <v>80.400000000000006</v>
      </c>
    </row>
    <row r="113" spans="1:4">
      <c r="A113" s="1">
        <v>44287</v>
      </c>
      <c r="B113">
        <v>85.3</v>
      </c>
      <c r="C113">
        <v>61</v>
      </c>
      <c r="D113">
        <v>81.8</v>
      </c>
    </row>
    <row r="114" spans="1:4">
      <c r="A114" s="1">
        <v>44317</v>
      </c>
      <c r="B114">
        <v>85.5</v>
      </c>
      <c r="C114">
        <v>61</v>
      </c>
      <c r="D114">
        <v>82.7</v>
      </c>
    </row>
    <row r="115" spans="1:4">
      <c r="A115" s="1">
        <v>44348</v>
      </c>
      <c r="B115">
        <v>85.6</v>
      </c>
      <c r="C115">
        <v>61</v>
      </c>
      <c r="D115">
        <v>83.9</v>
      </c>
    </row>
    <row r="116" spans="1:4">
      <c r="A116" s="1">
        <v>44378</v>
      </c>
      <c r="B116">
        <v>85.9</v>
      </c>
      <c r="C116">
        <v>61.9</v>
      </c>
      <c r="D116">
        <v>86.3</v>
      </c>
    </row>
    <row r="117" spans="1:4">
      <c r="A117" s="1">
        <v>44409</v>
      </c>
      <c r="B117">
        <v>86.5</v>
      </c>
      <c r="C117">
        <v>66.099999999999994</v>
      </c>
      <c r="D117">
        <v>86.7</v>
      </c>
    </row>
    <row r="118" spans="1:4">
      <c r="A118" s="1">
        <v>44440</v>
      </c>
      <c r="B118">
        <v>86.8</v>
      </c>
      <c r="C118">
        <v>67</v>
      </c>
      <c r="D118">
        <v>87.7</v>
      </c>
    </row>
    <row r="119" spans="1:4">
      <c r="A119" s="1">
        <v>44470</v>
      </c>
      <c r="B119">
        <v>87.4</v>
      </c>
      <c r="C119">
        <v>68.3</v>
      </c>
      <c r="D119">
        <v>93.6</v>
      </c>
    </row>
    <row r="120" spans="1:4">
      <c r="A120" s="1">
        <v>44501</v>
      </c>
      <c r="B120">
        <v>87.9</v>
      </c>
      <c r="C120">
        <v>71.599999999999994</v>
      </c>
      <c r="D120">
        <v>96.9</v>
      </c>
    </row>
    <row r="121" spans="1:4">
      <c r="A121" s="1">
        <v>44531</v>
      </c>
      <c r="B121">
        <v>88.4</v>
      </c>
      <c r="C121">
        <v>72.5</v>
      </c>
      <c r="D121">
        <v>95.9</v>
      </c>
    </row>
    <row r="122" spans="1:4">
      <c r="A122" s="1">
        <v>44562</v>
      </c>
      <c r="B122">
        <v>88</v>
      </c>
      <c r="C122">
        <v>72.5</v>
      </c>
      <c r="D122">
        <v>96.2</v>
      </c>
    </row>
    <row r="123" spans="1:4">
      <c r="A123" s="1">
        <v>44593</v>
      </c>
      <c r="B123">
        <v>88.8</v>
      </c>
      <c r="C123">
        <v>72.5</v>
      </c>
      <c r="D123">
        <v>99.3</v>
      </c>
    </row>
    <row r="124" spans="1:4">
      <c r="A124" s="1">
        <v>44621</v>
      </c>
      <c r="B124">
        <v>90.5</v>
      </c>
      <c r="C124">
        <v>72.5</v>
      </c>
      <c r="D124">
        <v>112.9</v>
      </c>
    </row>
    <row r="125" spans="1:4">
      <c r="A125" s="1">
        <v>44652</v>
      </c>
      <c r="B125">
        <v>91.3</v>
      </c>
      <c r="C125">
        <v>77.900000000000006</v>
      </c>
      <c r="D125">
        <v>107.7</v>
      </c>
    </row>
    <row r="126" spans="1:4">
      <c r="A126" s="1">
        <v>44682</v>
      </c>
      <c r="B126">
        <v>92.2</v>
      </c>
      <c r="C126">
        <v>85.9</v>
      </c>
      <c r="D126">
        <v>110.3</v>
      </c>
    </row>
    <row r="127" spans="1:4">
      <c r="A127" s="1">
        <v>44713</v>
      </c>
      <c r="B127">
        <v>93.4</v>
      </c>
      <c r="C127">
        <v>85.9</v>
      </c>
      <c r="D127">
        <v>123.4</v>
      </c>
    </row>
    <row r="128" spans="1:4">
      <c r="A128" s="1">
        <v>44743</v>
      </c>
      <c r="B128">
        <v>93.8</v>
      </c>
      <c r="C128">
        <v>86.6</v>
      </c>
      <c r="D128">
        <v>120.9</v>
      </c>
    </row>
    <row r="129" spans="1:4">
      <c r="A129" s="1">
        <v>44774</v>
      </c>
      <c r="B129">
        <v>93.9</v>
      </c>
      <c r="C129">
        <v>91.3</v>
      </c>
      <c r="D129">
        <v>111.7</v>
      </c>
    </row>
    <row r="130" spans="1:4">
      <c r="A130" s="1">
        <v>44805</v>
      </c>
      <c r="B130">
        <v>94</v>
      </c>
      <c r="C130">
        <v>91.3</v>
      </c>
      <c r="D130">
        <v>108.3</v>
      </c>
    </row>
    <row r="131" spans="1:4">
      <c r="A131" s="1">
        <v>44835</v>
      </c>
      <c r="B131">
        <v>95.5</v>
      </c>
      <c r="C131">
        <v>117</v>
      </c>
      <c r="D131">
        <v>109.1</v>
      </c>
    </row>
    <row r="132" spans="1:4">
      <c r="A132" s="1">
        <v>44866</v>
      </c>
      <c r="B132">
        <v>95.8</v>
      </c>
      <c r="C132">
        <v>117</v>
      </c>
      <c r="D132">
        <v>111.3</v>
      </c>
    </row>
    <row r="133" spans="1:4">
      <c r="A133" s="1">
        <v>44896</v>
      </c>
      <c r="B133">
        <v>95.6</v>
      </c>
      <c r="C133">
        <v>117.9</v>
      </c>
      <c r="D133">
        <v>96.7</v>
      </c>
    </row>
    <row r="134" spans="1:4">
      <c r="A134" s="1">
        <v>44927</v>
      </c>
      <c r="B134">
        <v>94.8</v>
      </c>
      <c r="C134">
        <v>117.9</v>
      </c>
      <c r="D134">
        <v>96.1</v>
      </c>
    </row>
    <row r="135" spans="1:4">
      <c r="A135" s="1">
        <v>44958</v>
      </c>
      <c r="B135">
        <v>96.4</v>
      </c>
      <c r="C135">
        <v>117.9</v>
      </c>
      <c r="D135">
        <v>97</v>
      </c>
    </row>
    <row r="136" spans="1:4">
      <c r="A136" s="1">
        <v>44986</v>
      </c>
      <c r="B136">
        <v>97.4</v>
      </c>
      <c r="C136">
        <v>117.9</v>
      </c>
      <c r="D136">
        <v>95.6</v>
      </c>
    </row>
    <row r="137" spans="1:4">
      <c r="A137" s="1">
        <v>45017</v>
      </c>
      <c r="B137">
        <v>97.9</v>
      </c>
      <c r="C137">
        <v>117.9</v>
      </c>
      <c r="D137">
        <v>93.9</v>
      </c>
    </row>
    <row r="138" spans="1:4">
      <c r="A138" s="1">
        <v>45047</v>
      </c>
      <c r="B138">
        <v>98.3</v>
      </c>
      <c r="C138">
        <v>115.7</v>
      </c>
      <c r="D138">
        <v>90</v>
      </c>
    </row>
    <row r="139" spans="1:4">
      <c r="A139" s="1">
        <v>45078</v>
      </c>
      <c r="B139">
        <v>99.1</v>
      </c>
      <c r="C139">
        <v>115.7</v>
      </c>
      <c r="D139">
        <v>92.1</v>
      </c>
    </row>
    <row r="140" spans="1:4">
      <c r="A140" s="1">
        <v>45108</v>
      </c>
      <c r="B140">
        <v>99.3</v>
      </c>
      <c r="C140">
        <v>114.2</v>
      </c>
      <c r="D140">
        <v>92.9</v>
      </c>
    </row>
    <row r="141" spans="1:4">
      <c r="A141" s="1">
        <v>45139</v>
      </c>
      <c r="B141">
        <v>99.9</v>
      </c>
      <c r="C141">
        <v>114.2</v>
      </c>
      <c r="D141">
        <v>97.8</v>
      </c>
    </row>
    <row r="142" spans="1:4">
      <c r="A142" s="1">
        <v>45170</v>
      </c>
      <c r="B142">
        <v>100</v>
      </c>
      <c r="C142">
        <v>112.8</v>
      </c>
      <c r="D142">
        <v>106.2</v>
      </c>
    </row>
    <row r="143" spans="1:4">
      <c r="A143" s="1">
        <v>45200</v>
      </c>
      <c r="B143">
        <v>100.3</v>
      </c>
      <c r="C143">
        <v>110.8</v>
      </c>
      <c r="D143">
        <v>108.2</v>
      </c>
    </row>
    <row r="144" spans="1:4">
      <c r="A144" s="1">
        <v>45231</v>
      </c>
      <c r="B144">
        <v>99.5</v>
      </c>
      <c r="C144">
        <v>100</v>
      </c>
      <c r="D144">
        <v>105</v>
      </c>
    </row>
    <row r="145" spans="1:4">
      <c r="A145" s="1">
        <v>45261</v>
      </c>
      <c r="B145">
        <v>100</v>
      </c>
      <c r="C145">
        <v>100</v>
      </c>
      <c r="D145">
        <v>100</v>
      </c>
    </row>
    <row r="146" spans="1:4">
      <c r="A146" s="1">
        <v>45292</v>
      </c>
      <c r="B146">
        <v>98.7</v>
      </c>
      <c r="C146">
        <v>100</v>
      </c>
      <c r="D146">
        <v>98.5</v>
      </c>
    </row>
    <row r="147" spans="1:4">
      <c r="A147" s="1">
        <v>45323</v>
      </c>
      <c r="B147">
        <v>99.7</v>
      </c>
      <c r="C147">
        <v>98.6</v>
      </c>
      <c r="D147">
        <v>100.4</v>
      </c>
    </row>
    <row r="148" spans="1:4">
      <c r="A148" s="1">
        <v>45352</v>
      </c>
      <c r="B148">
        <v>100.2</v>
      </c>
      <c r="C148">
        <v>92.2</v>
      </c>
      <c r="D148">
        <v>101.3</v>
      </c>
    </row>
    <row r="149" spans="1:4">
      <c r="A149" s="1">
        <v>45383</v>
      </c>
      <c r="B149">
        <v>100.4</v>
      </c>
      <c r="C149">
        <v>91.7</v>
      </c>
      <c r="D149">
        <v>104.6</v>
      </c>
    </row>
    <row r="150" spans="1:4">
      <c r="A150" s="1">
        <v>45413</v>
      </c>
      <c r="B150">
        <v>100.9</v>
      </c>
      <c r="C150">
        <v>91.7</v>
      </c>
      <c r="D150">
        <v>104.3</v>
      </c>
    </row>
    <row r="151" spans="1:4">
      <c r="A151" s="1">
        <v>45444</v>
      </c>
      <c r="B151">
        <v>101.3</v>
      </c>
      <c r="C151">
        <v>91.7</v>
      </c>
      <c r="D151">
        <v>102.2</v>
      </c>
    </row>
    <row r="152" spans="1:4">
      <c r="A152" s="1">
        <v>45474</v>
      </c>
      <c r="B152">
        <v>101.5</v>
      </c>
      <c r="C152">
        <v>90.7</v>
      </c>
      <c r="D152">
        <v>102.4</v>
      </c>
    </row>
    <row r="153" spans="1:4">
      <c r="A153" s="1">
        <v>45505</v>
      </c>
      <c r="B153">
        <v>101.6</v>
      </c>
      <c r="C153">
        <v>90.7</v>
      </c>
      <c r="D153">
        <v>101.8</v>
      </c>
    </row>
    <row r="154" spans="1:4">
      <c r="A154" s="1">
        <v>45536</v>
      </c>
      <c r="B154">
        <v>100.7</v>
      </c>
      <c r="C154">
        <v>90.7</v>
      </c>
      <c r="D154">
        <v>99.2</v>
      </c>
    </row>
    <row r="155" spans="1:4">
      <c r="A155" s="1">
        <v>45566</v>
      </c>
      <c r="B155">
        <v>101</v>
      </c>
      <c r="C155">
        <v>92.9</v>
      </c>
      <c r="D155">
        <v>97.5</v>
      </c>
    </row>
    <row r="156" spans="1:4">
      <c r="A156" s="1">
        <v>45597</v>
      </c>
      <c r="B156">
        <v>100.5</v>
      </c>
      <c r="C156">
        <v>91.7</v>
      </c>
      <c r="D156">
        <v>99.6</v>
      </c>
    </row>
    <row r="157" spans="1:4">
      <c r="A157" s="1">
        <v>45627</v>
      </c>
      <c r="B157">
        <v>101.4</v>
      </c>
      <c r="C157">
        <v>91.7</v>
      </c>
      <c r="D157">
        <v>101.2</v>
      </c>
    </row>
    <row r="158" spans="1:4">
      <c r="A158" s="1">
        <v>45658</v>
      </c>
      <c r="B158">
        <v>100.6</v>
      </c>
      <c r="C158">
        <v>91.7</v>
      </c>
      <c r="D158">
        <v>103.3</v>
      </c>
    </row>
    <row r="159" spans="1:4">
      <c r="A159" s="1">
        <v>45689</v>
      </c>
      <c r="B159">
        <v>101.5</v>
      </c>
      <c r="C159">
        <v>91.7</v>
      </c>
      <c r="D159">
        <v>105</v>
      </c>
    </row>
    <row r="160" spans="1:4">
      <c r="A160" s="1">
        <v>45717</v>
      </c>
      <c r="B160">
        <v>102.2</v>
      </c>
      <c r="C160">
        <v>91.7</v>
      </c>
      <c r="D160">
        <v>103.4</v>
      </c>
    </row>
    <row r="161" spans="1:4">
      <c r="A161" s="1">
        <v>45748</v>
      </c>
      <c r="B161">
        <v>102.6</v>
      </c>
      <c r="C161">
        <v>92.9</v>
      </c>
      <c r="D161">
        <v>101.2</v>
      </c>
    </row>
    <row r="162" spans="1:4">
      <c r="A162" s="1">
        <v>45778</v>
      </c>
      <c r="B162">
        <v>102.6</v>
      </c>
      <c r="C162">
        <v>92.9</v>
      </c>
      <c r="D162">
        <v>98.1</v>
      </c>
    </row>
    <row r="163" spans="1:4">
      <c r="A163" s="1">
        <v>45809</v>
      </c>
      <c r="B163">
        <v>103.1</v>
      </c>
      <c r="C163">
        <v>92.9</v>
      </c>
      <c r="D163">
        <v>97.7</v>
      </c>
    </row>
    <row r="164" spans="1:4">
      <c r="A164" s="1">
        <v>45839</v>
      </c>
      <c r="B164">
        <v>103.2</v>
      </c>
      <c r="C164">
        <v>92.9</v>
      </c>
      <c r="D164">
        <v>100</v>
      </c>
    </row>
    <row r="165" spans="1:4">
      <c r="A165" s="1">
        <v>45870</v>
      </c>
      <c r="B165">
        <v>103.6</v>
      </c>
      <c r="C165">
        <v>92.9</v>
      </c>
      <c r="D165">
        <v>99.7</v>
      </c>
    </row>
    <row r="166" spans="1:4">
      <c r="A166" s="1">
        <v>45901</v>
      </c>
      <c r="B166">
        <v>103.4</v>
      </c>
      <c r="C166">
        <v>92.9</v>
      </c>
      <c r="D166">
        <v>99.5</v>
      </c>
    </row>
    <row r="167" spans="1:4">
      <c r="A167" s="1">
        <v>45931</v>
      </c>
      <c r="B167">
        <v>103.9</v>
      </c>
      <c r="C167">
        <v>96.3</v>
      </c>
      <c r="D167">
        <v>100.8</v>
      </c>
    </row>
    <row r="168" spans="1:4">
      <c r="A168" s="1">
        <v>45962</v>
      </c>
      <c r="B168">
        <v>103.7</v>
      </c>
      <c r="C168">
        <v>96.3</v>
      </c>
      <c r="D168">
        <v>102.4</v>
      </c>
    </row>
    <row r="169" spans="1:4">
      <c r="A169" s="1">
        <v>45992</v>
      </c>
      <c r="B169">
        <v>104.2</v>
      </c>
      <c r="C169">
        <v>96</v>
      </c>
      <c r="D169">
        <v>102.4</v>
      </c>
    </row>
    <row r="170" spans="1:4">
      <c r="A170" s="1">
        <v>46023</v>
      </c>
      <c r="B170">
        <v>103.3</v>
      </c>
      <c r="C170">
        <v>96</v>
      </c>
      <c r="D170">
        <v>100.9</v>
      </c>
    </row>
    <row r="171" spans="1:4">
      <c r="A171" s="1">
        <v>46054</v>
      </c>
      <c r="B171">
        <v>104.2</v>
      </c>
      <c r="C171">
        <v>96</v>
      </c>
      <c r="D171">
        <v>101.7</v>
      </c>
    </row>
    <row r="172" spans="1:4">
      <c r="A172" s="1">
        <v>46082</v>
      </c>
      <c r="B172">
        <v>105.9</v>
      </c>
      <c r="C172">
        <v>96</v>
      </c>
      <c r="D172">
        <v>114.4</v>
      </c>
    </row>
    <row r="173" spans="1:4">
      <c r="A173" s="1">
        <v>46113</v>
      </c>
      <c r="B173">
        <v>106.4</v>
      </c>
      <c r="C173">
        <v>96</v>
      </c>
      <c r="D173">
        <v>118.3</v>
      </c>
    </row>
    <row r="174" spans="1:4">
      <c r="A174" s="1">
        <v>46143</v>
      </c>
      <c r="B174">
        <v>106.3</v>
      </c>
      <c r="C174">
        <v>96</v>
      </c>
      <c r="D174">
        <v>112.4</v>
      </c>
    </row>
    <row r="175" spans="1:4">
      <c r="A175" s="1">
        <v>46174</v>
      </c>
      <c r="B175">
        <v>106.6</v>
      </c>
      <c r="C175">
        <v>96.8</v>
      </c>
      <c r="D175">
        <v>108.8</v>
      </c>
    </row>
    <row r="176" spans="1:4">
      <c r="A176" s="1">
        <v>46204</v>
      </c>
      <c r="B176">
        <v>106.7</v>
      </c>
      <c r="C176">
        <v>100.4</v>
      </c>
      <c r="D176">
        <v>103.2</v>
      </c>
    </row>
    <row r="177" spans="1:4">
      <c r="A177" s="1">
        <v>46235</v>
      </c>
      <c r="B177">
        <v>107.4</v>
      </c>
      <c r="C177">
        <v>100.4</v>
      </c>
      <c r="D177">
        <v>111.4</v>
      </c>
    </row>
    <row r="178" spans="1:4">
      <c r="A178" s="1">
        <v>46266</v>
      </c>
      <c r="B178">
        <v>107.6</v>
      </c>
      <c r="C178">
        <v>100.4</v>
      </c>
      <c r="D178">
        <v>117.1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CEB79B-6701-4452-BCD0-021C5DA273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Calculations</vt:lpstr>
      <vt:lpstr>Scenarios</vt:lpstr>
      <vt:lpstr>CSO_Prices</vt:lpstr>
      <vt:lpstr>CPI_Index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ayoola fadare</dc:creator>
  <cp:lastModifiedBy>ayoola fadare</cp:lastModifiedBy>
  <dcterms:created xsi:type="dcterms:W3CDTF">2026-10-25T16:01:23Z</dcterms:created>
  <dcterms:modified xsi:type="dcterms:W3CDTF">2026-10-29T17:56:53Z</dcterms:modified>
</cp:coreProperties>
</file>